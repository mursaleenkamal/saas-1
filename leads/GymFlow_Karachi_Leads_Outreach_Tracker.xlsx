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Flow Leads &amp; Outreach CRM" sheetId="1" state="visible" r:id="rId1"/>
    <sheet xmlns:r="http://schemas.openxmlformats.org/officeDocument/2006/relationships" name="Area &amp; Strategic Analysis" sheetId="2" state="visible" r:id="rId2"/>
    <sheet xmlns:r="http://schemas.openxmlformats.org/officeDocument/2006/relationships" name="WhatsApp Outreach Scri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2563EB"/>
      <sz val="10"/>
      <u val="single"/>
    </font>
    <font>
      <name val="Segoe UI"/>
      <b val="1"/>
      <color rgb="00FFFFFF"/>
      <sz val="13"/>
    </font>
    <font>
      <name val="Segoe UI"/>
      <b val="1"/>
      <color rgb="0016A34A"/>
      <sz val="10"/>
    </font>
    <font>
      <name val="Segoe UI"/>
      <b val="1"/>
      <color rgb="000F172A"/>
      <sz val="11"/>
    </font>
    <font>
      <name val="Segoe UI"/>
      <i val="1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5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18" customWidth="1" min="5" max="5"/>
    <col width="10" customWidth="1" min="6" max="6"/>
    <col width="28" customWidth="1" min="7" max="7"/>
    <col width="20" customWidth="1" min="8" max="8"/>
    <col width="35" customWidth="1" min="9" max="9"/>
    <col width="45" customWidth="1" min="10" max="10"/>
    <col width="45" customWidth="1" min="11" max="11"/>
    <col width="26" customWidth="1" min="12" max="12"/>
    <col width="18" customWidth="1" min="13" max="13"/>
    <col width="35" customWidth="1" min="14" max="14"/>
    <col width="16" customWidth="1" min="15" max="15"/>
  </cols>
  <sheetData>
    <row r="1" ht="40" customHeight="1">
      <c r="A1" s="1" t="inlineStr">
        <is>
          <t>🏋️ GYMFLOW B2B OUTREACH &amp; CLIENT ACQUISITION TRACKER (KARACHI PILOT)</t>
        </is>
      </c>
    </row>
    <row r="2" ht="24" customHeight="1">
      <c r="A2" s="2" t="inlineStr">
        <is>
          <t>Active Pipeline: 105 Karachi Gyms | Target: 10 Paid Beta Gyms | Shared Workspace for Mursaleen &amp; PM/Sales Agent Team</t>
        </is>
      </c>
    </row>
    <row r="3" ht="32" customHeight="1">
      <c r="A3" s="3" t="inlineStr">
        <is>
          <t>Lead ID</t>
        </is>
      </c>
      <c r="B3" s="3" t="inlineStr">
        <is>
          <t>Gym Name</t>
        </is>
      </c>
      <c r="C3" s="3" t="inlineStr">
        <is>
          <t>Area / Zone</t>
        </is>
      </c>
      <c r="D3" s="3" t="inlineStr">
        <is>
          <t>Phone Number</t>
        </is>
      </c>
      <c r="E3" s="3" t="inlineStr">
        <is>
          <t>WhatsApp Link</t>
        </is>
      </c>
      <c r="F3" s="3" t="inlineStr">
        <is>
          <t>Rating</t>
        </is>
      </c>
      <c r="G3" s="3" t="inlineStr">
        <is>
          <t>ICP Tier</t>
        </is>
      </c>
      <c r="H3" s="3" t="inlineStr">
        <is>
          <t>Outreach Status</t>
        </is>
      </c>
      <c r="I3" s="3" t="inlineStr">
        <is>
          <t>Mursaleen User Action &amp; Notes</t>
        </is>
      </c>
      <c r="J3" s="3" t="inlineStr">
        <is>
          <t>PM &amp; Sales Team Analysis</t>
        </is>
      </c>
      <c r="K3" s="3" t="inlineStr">
        <is>
          <t>Target Pain Point Pitch Hook</t>
        </is>
      </c>
      <c r="L3" s="3" t="inlineStr">
        <is>
          <t>Recommended Plan</t>
        </is>
      </c>
      <c r="M3" s="3" t="inlineStr">
        <is>
          <t>Est. Members</t>
        </is>
      </c>
      <c r="N3" s="3" t="inlineStr">
        <is>
          <t>Address</t>
        </is>
      </c>
      <c r="O3" s="3" t="inlineStr">
        <is>
          <t>Google Maps URL</t>
        </is>
      </c>
    </row>
    <row r="4" ht="28" customHeight="1">
      <c r="A4" s="4" t="inlineStr">
        <is>
          <t>GF-KHI-001</t>
        </is>
      </c>
      <c r="B4" s="5" t="inlineStr">
        <is>
          <t>Get Smart Gym Ph1</t>
        </is>
      </c>
      <c r="C4" s="4" t="inlineStr">
        <is>
          <t>DHA</t>
        </is>
      </c>
      <c r="D4" s="6" t="inlineStr">
        <is>
          <t>+92 21 35397849</t>
        </is>
      </c>
      <c r="E4" s="6" t="inlineStr">
        <is>
          <t>Landline / Call</t>
        </is>
      </c>
      <c r="F4" s="4" t="n">
        <v>4.2</v>
      </c>
      <c r="G4" s="6" t="inlineStr">
        <is>
          <t>Tier 1 (Premium / Boutique)</t>
        </is>
      </c>
      <c r="H4" s="7" t="inlineStr">
        <is>
          <t>1. Not Contacted</t>
        </is>
      </c>
      <c r="I4" s="6" t="inlineStr"/>
      <c r="J4" s="6" t="inlineStr">
        <is>
          <t>High fee structure (Rs 8k - 25k/mo). Owners care about brand prestige, zero counter friction, and automated payment receipts.</t>
        </is>
      </c>
      <c r="K4" s="6" t="inlineStr">
        <is>
          <t>Automated WhatsApp Fee Receipts + Raast QR Instant Verification + Member Retention Dashboard</t>
        </is>
      </c>
      <c r="L4" s="6" t="inlineStr">
        <is>
          <t>Pro / Enterprise (Rs 7,500 - 15,000/mo)</t>
        </is>
      </c>
      <c r="M4" s="6" t="inlineStr">
        <is>
          <t>250 - 600 members</t>
        </is>
      </c>
      <c r="N4" s="6" t="inlineStr">
        <is>
          <t>Golden Tower, Main Korangi Rd, DHA phase 1 Phase 1 Defence Housing Authority, Karachi, 75500, Pakistan</t>
        </is>
      </c>
      <c r="O4" s="8">
        <f>HYPERLINK("https://www.google.com/maps/place/Get+Smart+Gym+Ph1/data=!4m7!3m6!1s0x3eb33c539b77b6dd:0x3dcfd9740c7ad517!8m2!3d24.8383563!4d67.0660953!16s%2Fg%2F11zn6d_v8!19sChIJ3bZ3m1M8sz4RF9V6DHTZzz0?authuser=0&amp;hl=en&amp;g_ep=EgoyMDI2MDkyNy4xIJJjKgBIAVAD&amp;rclk=1", "📍 View Map")</f>
        <v/>
      </c>
    </row>
    <row r="5" ht="28" customHeight="1">
      <c r="A5" s="4" t="inlineStr">
        <is>
          <t>GF-KHI-002</t>
        </is>
      </c>
      <c r="B5" s="5" t="inlineStr">
        <is>
          <t>MK Muscle</t>
        </is>
      </c>
      <c r="C5" s="4" t="inlineStr">
        <is>
          <t>DHA</t>
        </is>
      </c>
      <c r="D5" s="6" t="inlineStr">
        <is>
          <t>+92 335 1225538</t>
        </is>
      </c>
      <c r="E5" s="8">
        <f>HYPERLINK("https://wa.me/923351225538", "💬 Open WhatsApp")</f>
        <v/>
      </c>
      <c r="F5" s="4" t="n">
        <v>5</v>
      </c>
      <c r="G5" s="6" t="inlineStr">
        <is>
          <t>Tier 1 (Premium / Boutique)</t>
        </is>
      </c>
      <c r="H5" s="7" t="inlineStr">
        <is>
          <t>1. Not Contacted</t>
        </is>
      </c>
      <c r="I5" s="6" t="inlineStr"/>
      <c r="J5" s="6" t="inlineStr">
        <is>
          <t>High fee structure (Rs 8k - 25k/mo). Owners care about brand prestige, zero counter friction, and automated payment receipts.</t>
        </is>
      </c>
      <c r="K5" s="6" t="inlineStr">
        <is>
          <t>Automated WhatsApp Fee Receipts + Raast QR Instant Verification + Member Retention Dashboard</t>
        </is>
      </c>
      <c r="L5" s="6" t="inlineStr">
        <is>
          <t>Pro / Enterprise (Rs 7,500 - 15,000/mo)</t>
        </is>
      </c>
      <c r="M5" s="6" t="inlineStr">
        <is>
          <t>250 - 600 members</t>
        </is>
      </c>
      <c r="N5" s="6" t="inlineStr">
        <is>
          <t>Plot No. 18-C, 05 Sunset Ln, Phase 02 Extension Phase 2 Commercial Area DHA Karachi, Karachi, 75500, Pakistan</t>
        </is>
      </c>
      <c r="O5" s="8">
        <f>HYPERLINK("https://www.google.com/maps/place/MK+Muscle/data=!4m7!3m6!1s0x3eb33da31e341f4f:0x3a62dbccb5004210!8m2!3d24.8314934!4d67.065708!16s%2Fg%2F11l38ft76t!19sChIJTx80HqM9sz4REEIAtczbYjo?authuser=0&amp;hl=en&amp;g_ep=EgoyMDI2MDkyNy4xIJJjKgBIAVAD&amp;rclk=1", "📍 View Map")</f>
        <v/>
      </c>
    </row>
    <row r="6" ht="28" customHeight="1">
      <c r="A6" s="4" t="inlineStr">
        <is>
          <t>GF-KHI-003</t>
        </is>
      </c>
      <c r="B6" s="5" t="inlineStr">
        <is>
          <t>Spartan Fitness</t>
        </is>
      </c>
      <c r="C6" s="4" t="inlineStr">
        <is>
          <t>DHA</t>
        </is>
      </c>
      <c r="D6" s="6" t="inlineStr">
        <is>
          <t>+92 300 2177778</t>
        </is>
      </c>
      <c r="E6" s="8">
        <f>HYPERLINK("https://wa.me/923002177778", "💬 Open WhatsApp")</f>
        <v/>
      </c>
      <c r="F6" s="4" t="n">
        <v>4.8</v>
      </c>
      <c r="G6" s="6" t="inlineStr">
        <is>
          <t>Tier 1 (Premium / Boutique)</t>
        </is>
      </c>
      <c r="H6" s="7" t="inlineStr">
        <is>
          <t>1. Not Contacted</t>
        </is>
      </c>
      <c r="I6" s="6" t="inlineStr"/>
      <c r="J6" s="6" t="inlineStr">
        <is>
          <t>High fee structure (Rs 8k - 25k/mo). Owners care about brand prestige, zero counter friction, and automated payment receipts.</t>
        </is>
      </c>
      <c r="K6" s="6" t="inlineStr">
        <is>
          <t>Automated WhatsApp Fee Receipts + Raast QR Instant Verification + Member Retention Dashboard</t>
        </is>
      </c>
      <c r="L6" s="6" t="inlineStr">
        <is>
          <t>Pro / Enterprise (Rs 7,500 - 15,000/mo)</t>
        </is>
      </c>
      <c r="M6" s="6" t="inlineStr">
        <is>
          <t>250 - 600 members</t>
        </is>
      </c>
      <c r="N6" s="6" t="inlineStr">
        <is>
          <t>111-C Lane-2, D.H.A. Phase 8 Zulfiqar &amp; Al Murtaza Commercial Area Phase 8 Defence Housing Authority, Karachi, 75500, Pakistan</t>
        </is>
      </c>
      <c r="O6" s="8">
        <f>HYPERLINK("https://www.google.com/maps/place/Spartan+Fitness/data=!4m7!3m6!1s0x3eb33dd277ffdde9:0xd87ea41da95af226!8m2!3d24.7868384!4d67.0789779!16s%2Fg%2F11mv9q_hvr!19sChIJ6d3_d9I9sz4RJvJaqR2kftg?authuser=0&amp;hl=en&amp;g_ep=EgoyMDI2MDkyNy4xIJJjKgBIAVAD&amp;rclk=1", "📍 View Map")</f>
        <v/>
      </c>
    </row>
    <row r="7" ht="28" customHeight="1">
      <c r="A7" s="4" t="inlineStr">
        <is>
          <t>GF-KHI-004</t>
        </is>
      </c>
      <c r="B7" s="5" t="inlineStr">
        <is>
          <t>THE FORCE GYM &amp; FITNESS traners</t>
        </is>
      </c>
      <c r="C7" s="4" t="inlineStr">
        <is>
          <t>DHA</t>
        </is>
      </c>
      <c r="D7" s="6" t="inlineStr">
        <is>
          <t>+92 306 2597844</t>
        </is>
      </c>
      <c r="E7" s="8">
        <f>HYPERLINK("https://wa.me/923062597844", "💬 Open WhatsApp")</f>
        <v/>
      </c>
      <c r="F7" s="4" t="n">
        <v>4.3</v>
      </c>
      <c r="G7" s="6" t="inlineStr">
        <is>
          <t>Tier 1 (Premium / Boutique)</t>
        </is>
      </c>
      <c r="H7" s="7" t="inlineStr">
        <is>
          <t>1. Not Contacted</t>
        </is>
      </c>
      <c r="I7" s="6" t="inlineStr"/>
      <c r="J7" s="6" t="inlineStr">
        <is>
          <t>High fee structure (Rs 8k - 25k/mo). Owners care about brand prestige, zero counter friction, and automated payment receipts.</t>
        </is>
      </c>
      <c r="K7" s="6" t="inlineStr">
        <is>
          <t>Automated WhatsApp Fee Receipts + Raast QR Instant Verification + Member Retention Dashboard</t>
        </is>
      </c>
      <c r="L7" s="6" t="inlineStr">
        <is>
          <t>Pro / Enterprise (Rs 7,500 - 15,000/mo)</t>
        </is>
      </c>
      <c r="M7" s="6" t="inlineStr">
        <is>
          <t>250 - 600 members</t>
        </is>
      </c>
      <c r="N7" s="6" t="inlineStr">
        <is>
          <t>Plot 130 D, Commercial Area B Karachi Cantonment, Karachi, 75500, Pakistan</t>
        </is>
      </c>
      <c r="O7" s="8">
        <f>HYPERLINK("https://www.google.com/maps/place/THE+FORCE+GYM+%26+FITNESS+traners/data=!4m7!3m6!1s0x3eb33db6a8d6941b:0xfb5428be37d861fb!8m2!3d24.8437385!4d67.0550003!16s%2Fg%2F11h03f6qz7!19sChIJG5TWqLY9sz4R-2HYN74oVPs?authuser=0&amp;hl=en&amp;g_ep=EgoyMDI2MDkyNy4xIJJjKgBIAVAD&amp;rclk=1", "📍 View Map")</f>
        <v/>
      </c>
    </row>
    <row r="8" ht="28" customHeight="1">
      <c r="A8" s="4" t="inlineStr">
        <is>
          <t>GF-KHI-005</t>
        </is>
      </c>
      <c r="B8" s="5" t="inlineStr">
        <is>
          <t>24/7 GYM - DHA 1 Chapter🏛️24/7 hotel 🛏️</t>
        </is>
      </c>
      <c r="C8" s="4" t="inlineStr">
        <is>
          <t>DHA</t>
        </is>
      </c>
      <c r="D8" s="6" t="inlineStr">
        <is>
          <t>+92 300 2515013</t>
        </is>
      </c>
      <c r="E8" s="8">
        <f>HYPERLINK("https://wa.me/923002515013", "💬 Open WhatsApp")</f>
        <v/>
      </c>
      <c r="F8" s="4" t="n">
        <v>4.2</v>
      </c>
      <c r="G8" s="6" t="inlineStr">
        <is>
          <t>Tier 1 (Premium / Boutique)</t>
        </is>
      </c>
      <c r="H8" s="7" t="inlineStr">
        <is>
          <t>1. Not Contacted</t>
        </is>
      </c>
      <c r="I8" s="6" t="inlineStr"/>
      <c r="J8" s="6" t="inlineStr">
        <is>
          <t>High fee structure (Rs 8k - 25k/mo). Owners care about brand prestige, zero counter friction, and automated payment receipts.</t>
        </is>
      </c>
      <c r="K8" s="6" t="inlineStr">
        <is>
          <t>Automated WhatsApp Fee Receipts + Raast QR Instant Verification + Member Retention Dashboard</t>
        </is>
      </c>
      <c r="L8" s="6" t="inlineStr">
        <is>
          <t>Pro / Enterprise (Rs 7,500 - 15,000/mo)</t>
        </is>
      </c>
      <c r="M8" s="6" t="inlineStr">
        <is>
          <t>250 - 600 members</t>
        </is>
      </c>
      <c r="N8" s="6" t="inlineStr">
        <is>
          <t>First floor, plot 206 Street Number 3, adjacent DHA Phase 1, Akhtar Colony Hazrat Bilal Colony Sector B Akhtar Colony, Karachi, Pakistan</t>
        </is>
      </c>
      <c r="O8" s="8">
        <f>HYPERLINK("https://www.google.com/maps/place/24%2F7+GYM+-+DHA+1+Chapter%F0%9F%8F%9B%EF%B8%8F24%2F7+hotel+%F0%9F%9B%8F%EF%B8%8F/data=!4m7!3m6!1s0x3eb33d0e81c44b29:0xe1b9e1d0bc0f5d78!8m2!3d24.8395098!4d67.0733479!16s%2Fg%2F11j7y83z4y!19sChIJKUvEgQ49sz4ReF0PvNDhueE?authuser=0&amp;hl=en&amp;g_ep=EgoyMDI2MDkyNy4xIJJjKgBIAVAD&amp;rclk=1", "📍 View Map")</f>
        <v/>
      </c>
    </row>
    <row r="9" ht="28" customHeight="1">
      <c r="A9" s="4" t="inlineStr">
        <is>
          <t>GF-KHI-006</t>
        </is>
      </c>
      <c r="B9" s="5" t="inlineStr">
        <is>
          <t>Fitness Extreme</t>
        </is>
      </c>
      <c r="C9" s="4" t="inlineStr">
        <is>
          <t>DHA</t>
        </is>
      </c>
      <c r="D9" s="6" t="inlineStr">
        <is>
          <t>+92 300 9293948</t>
        </is>
      </c>
      <c r="E9" s="8">
        <f>HYPERLINK("https://wa.me/923009293948", "💬 Open WhatsApp")</f>
        <v/>
      </c>
      <c r="F9" s="4" t="n">
        <v>4.4</v>
      </c>
      <c r="G9" s="6" t="inlineStr">
        <is>
          <t>Tier 1 (Premium / Boutique)</t>
        </is>
      </c>
      <c r="H9" s="7" t="inlineStr">
        <is>
          <t>1. Not Contacted</t>
        </is>
      </c>
      <c r="I9" s="6" t="inlineStr"/>
      <c r="J9" s="6" t="inlineStr">
        <is>
          <t>High fee structure (Rs 8k - 25k/mo). Owners care about brand prestige, zero counter friction, and automated payment receipts.</t>
        </is>
      </c>
      <c r="K9" s="6" t="inlineStr">
        <is>
          <t>Automated WhatsApp Fee Receipts + Raast QR Instant Verification + Member Retention Dashboard</t>
        </is>
      </c>
      <c r="L9" s="6" t="inlineStr">
        <is>
          <t>Pro / Enterprise (Rs 7,500 - 15,000/mo)</t>
        </is>
      </c>
      <c r="M9" s="6" t="inlineStr">
        <is>
          <t>250 - 600 members</t>
        </is>
      </c>
      <c r="N9" s="6" t="inlineStr">
        <is>
          <t>no 09, 12/c sunset lane no 09 dha phase 2 ext 12/C, Sunset Ln, Phase 2 Ext Defence Housing Authority, Karachi, 75500, Pakistan</t>
        </is>
      </c>
      <c r="O9" s="8">
        <f>HYPERLINK("https://www.google.com/maps/place/Fitness+Extreme/data=!4m7!3m6!1s0x3eb33c6acbe0a0a5:0x49d1ea2374fddeb4!8m2!3d24.8327502!4d67.0670465!16s%2Fg%2F11dxdm1npf!19sChIJpaDgy2o8sz4RtN79dCPq0Uk?authuser=0&amp;hl=en&amp;g_ep=EgoyMDI2MDkyNy4xIJJjKgBIAVAD&amp;rclk=1", "📍 View Map")</f>
        <v/>
      </c>
    </row>
    <row r="10" ht="28" customHeight="1">
      <c r="A10" s="4" t="inlineStr">
        <is>
          <t>GF-KHI-007</t>
        </is>
      </c>
      <c r="B10" s="5" t="inlineStr">
        <is>
          <t>TRIFIT FITNESS CLUB (COM 1)</t>
        </is>
      </c>
      <c r="C10" s="4" t="inlineStr">
        <is>
          <t>Clifton</t>
        </is>
      </c>
      <c r="D10" s="6" t="inlineStr">
        <is>
          <t>+92 335 8743481</t>
        </is>
      </c>
      <c r="E10" s="8">
        <f>HYPERLINK("https://wa.me/923358743481", "💬 Open WhatsApp")</f>
        <v/>
      </c>
      <c r="F10" s="4" t="n">
        <v>4.9</v>
      </c>
      <c r="G10" s="6" t="inlineStr">
        <is>
          <t>Tier 1 (Premium / Boutique)</t>
        </is>
      </c>
      <c r="H10" s="7" t="inlineStr">
        <is>
          <t>1. Not Contacted</t>
        </is>
      </c>
      <c r="I10" s="6" t="inlineStr"/>
      <c r="J10" s="6" t="inlineStr">
        <is>
          <t>High fee structure (Rs 8k - 25k/mo). Owners care about brand prestige, zero counter friction, and automated payment receipts.</t>
        </is>
      </c>
      <c r="K10" s="6" t="inlineStr">
        <is>
          <t>Automated WhatsApp Fee Receipts + Raast QR Instant Verification + Member Retention Dashboard</t>
        </is>
      </c>
      <c r="L10" s="6" t="inlineStr">
        <is>
          <t>Pro / Enterprise (Rs 7,500 - 15,000/mo)</t>
        </is>
      </c>
      <c r="M10" s="6" t="inlineStr">
        <is>
          <t>250 - 600 members</t>
        </is>
      </c>
      <c r="N10" s="6" t="inlineStr">
        <is>
          <t>COM 1, Block 3 Clifton, Karachi, 75600, Pakistan</t>
        </is>
      </c>
      <c r="O10" s="8">
        <f>HYPERLINK("https://www.google.com/maps/place/TRIFIT+FITNESS+CLUB+%28COM+1%29/data=!4m7!3m6!1s0x3eb33d21444b48a9:0xc66697bf386069c5!8m2!3d24.8146329!4d67.0206383!16s%2Fg%2F11q1tbwfx0!19sChIJqUhLRCE9sz4RxWlgOL-XZsY?authuser=0&amp;hl=en&amp;g_ep=EgoyMDI2MDkyNy4xIJJjKgBIAVAD&amp;rclk=1", "📍 View Map")</f>
        <v/>
      </c>
    </row>
    <row r="11" ht="28" customHeight="1">
      <c r="A11" s="4" t="inlineStr">
        <is>
          <t>GF-KHI-008</t>
        </is>
      </c>
      <c r="B11" s="5" t="inlineStr">
        <is>
          <t>Titan Fitness Gym</t>
        </is>
      </c>
      <c r="C11" s="4" t="inlineStr">
        <is>
          <t>Clifton</t>
        </is>
      </c>
      <c r="D11" s="6" t="inlineStr">
        <is>
          <t>+92 331 2072217</t>
        </is>
      </c>
      <c r="E11" s="8">
        <f>HYPERLINK("https://wa.me/923312072217", "💬 Open WhatsApp")</f>
        <v/>
      </c>
      <c r="F11" s="4" t="n">
        <v>4.7</v>
      </c>
      <c r="G11" s="6" t="inlineStr">
        <is>
          <t>Tier 1 (Premium / Boutique)</t>
        </is>
      </c>
      <c r="H11" s="7" t="inlineStr">
        <is>
          <t>1. Not Contacted</t>
        </is>
      </c>
      <c r="I11" s="6" t="inlineStr"/>
      <c r="J11" s="6" t="inlineStr">
        <is>
          <t>High fee structure (Rs 8k - 25k/mo). Owners care about brand prestige, zero counter friction, and automated payment receipts.</t>
        </is>
      </c>
      <c r="K11" s="6" t="inlineStr">
        <is>
          <t>Automated WhatsApp Fee Receipts + Raast QR Instant Verification + Member Retention Dashboard</t>
        </is>
      </c>
      <c r="L11" s="6" t="inlineStr">
        <is>
          <t>Pro / Enterprise (Rs 7,500 - 15,000/mo)</t>
        </is>
      </c>
      <c r="M11" s="6" t="inlineStr">
        <is>
          <t>250 - 600 members</t>
        </is>
      </c>
      <c r="N11" s="6" t="inlineStr">
        <is>
          <t>Shop No m1, yousuf grand square,teen talwar, khayaban-e-iqbal rd, karachi, Block 8 Clifton, Karachi, 75600, Pakistan</t>
        </is>
      </c>
      <c r="O11" s="8">
        <f>HYPERLINK("https://www.google.com/maps/place/Titan+Fitness+Gym/data=!4m7!3m6!1s0x3eb33d564d188d5f:0xd0d7f612c82c3af3!8m2!3d24.8316794!4d67.0346374!16s%2Fg%2F11g_qmrcg7!19sChIJX40YTVY9sz4R8zosyBL219A?authuser=0&amp;hl=en&amp;g_ep=EgoyMDI2MDkyNy4xIJJjKgBIAVAD&amp;rclk=1", "📍 View Map")</f>
        <v/>
      </c>
    </row>
    <row r="12" ht="28" customHeight="1">
      <c r="A12" s="4" t="inlineStr">
        <is>
          <t>GF-KHI-009</t>
        </is>
      </c>
      <c r="B12" s="5" t="inlineStr">
        <is>
          <t>CORE</t>
        </is>
      </c>
      <c r="C12" s="4" t="inlineStr">
        <is>
          <t>Clifton</t>
        </is>
      </c>
      <c r="D12" s="6" t="inlineStr">
        <is>
          <t>+92 21 35166554</t>
        </is>
      </c>
      <c r="E12" s="6" t="inlineStr">
        <is>
          <t>Landline / Call</t>
        </is>
      </c>
      <c r="F12" s="4" t="n">
        <v>4.4</v>
      </c>
      <c r="G12" s="6" t="inlineStr">
        <is>
          <t>Tier 1 (Premium / Boutique)</t>
        </is>
      </c>
      <c r="H12" s="7" t="inlineStr">
        <is>
          <t>1. Not Contacted</t>
        </is>
      </c>
      <c r="I12" s="6" t="inlineStr"/>
      <c r="J12" s="6" t="inlineStr">
        <is>
          <t>High fee structure (Rs 8k - 25k/mo). Owners care about brand prestige, zero counter friction, and automated payment receipts.</t>
        </is>
      </c>
      <c r="K12" s="6" t="inlineStr">
        <is>
          <t>Automated WhatsApp Fee Receipts + Raast QR Instant Verification + Member Retention Dashboard</t>
        </is>
      </c>
      <c r="L12" s="6" t="inlineStr">
        <is>
          <t>Pro / Enterprise (Rs 7,500 - 15,000/mo)</t>
        </is>
      </c>
      <c r="M12" s="6" t="inlineStr">
        <is>
          <t>250 - 600 members</t>
        </is>
      </c>
      <c r="N12" s="6" t="inlineStr">
        <is>
          <t>14th floor, OceanTower. Plot G-3, Block 9, Scheme #5. Main Clifton Road, Block 9 Clifton, Karachi, 77550, Pakistan</t>
        </is>
      </c>
      <c r="O12" s="8">
        <f>HYPERLINK("https://www.google.com/maps/place/CORE/data=!4m7!3m6!1s0x3eb33db7425b46a9:0xd76850db6908d390!8m2!3d24.823921!4d67.0355175!16s%2Fg%2F11c1wq3rxh!19sChIJqUZbQrc9sz4RkNMIadtQaNc?authuser=0&amp;hl=en&amp;g_ep=EgoyMDI2MDkyNy4xIJJjKgBIAVAD&amp;rclk=1", "📍 View Map")</f>
        <v/>
      </c>
    </row>
    <row r="13" ht="28" customHeight="1">
      <c r="A13" s="4" t="inlineStr">
        <is>
          <t>GF-KHI-010</t>
        </is>
      </c>
      <c r="B13" s="5" t="inlineStr">
        <is>
          <t>Transfit Gym And Fitness</t>
        </is>
      </c>
      <c r="C13" s="4" t="inlineStr">
        <is>
          <t>Clifton</t>
        </is>
      </c>
      <c r="D13" s="6" t="inlineStr">
        <is>
          <t>+92 313 0600222</t>
        </is>
      </c>
      <c r="E13" s="8">
        <f>HYPERLINK("https://wa.me/923130600222", "💬 Open WhatsApp")</f>
        <v/>
      </c>
      <c r="F13" s="4" t="n">
        <v>4.4</v>
      </c>
      <c r="G13" s="6" t="inlineStr">
        <is>
          <t>Tier 1 (Premium / Boutique)</t>
        </is>
      </c>
      <c r="H13" s="7" t="inlineStr">
        <is>
          <t>1. Not Contacted</t>
        </is>
      </c>
      <c r="I13" s="6" t="inlineStr"/>
      <c r="J13" s="6" t="inlineStr">
        <is>
          <t>High fee structure (Rs 8k - 25k/mo). Owners care about brand prestige, zero counter friction, and automated payment receipts.</t>
        </is>
      </c>
      <c r="K13" s="6" t="inlineStr">
        <is>
          <t>Automated WhatsApp Fee Receipts + Raast QR Instant Verification + Member Retention Dashboard</t>
        </is>
      </c>
      <c r="L13" s="6" t="inlineStr">
        <is>
          <t>Pro / Enterprise (Rs 7,500 - 15,000/mo)</t>
        </is>
      </c>
      <c r="M13" s="6" t="inlineStr">
        <is>
          <t>250 - 600 members</t>
        </is>
      </c>
      <c r="N13" s="6" t="inlineStr">
        <is>
          <t>COM 7, 8, Block 2 Clifton, Karachi, Pakistan</t>
        </is>
      </c>
      <c r="O13" s="8">
        <f>HYPERLINK("https://www.google.com/maps/place/Transfit+Gym+And+Fitness/data=!4m7!3m6!1s0x3eb33d88252967cb:0xa318bb6fe8a48d42!8m2!3d24.8103824!4d67.0177827!16s%2Fg%2F11j8qsgd0c!19sChIJy2cpJYg9sz4RQo2k6G-7GKM?authuser=0&amp;hl=en&amp;g_ep=EgoyMDI2MDkyNy4xIJJjKgBIAVAD&amp;rclk=1", "📍 View Map")</f>
        <v/>
      </c>
    </row>
    <row r="14" ht="28" customHeight="1">
      <c r="A14" s="4" t="inlineStr">
        <is>
          <t>GF-KHI-011</t>
        </is>
      </c>
      <c r="B14" s="5" t="inlineStr">
        <is>
          <t>Platinum Fitness پلاٹینیم فٹنس</t>
        </is>
      </c>
      <c r="C14" s="4" t="inlineStr">
        <is>
          <t>Clifton</t>
        </is>
      </c>
      <c r="D14" s="6" t="inlineStr">
        <is>
          <t>+92 334 1110496</t>
        </is>
      </c>
      <c r="E14" s="8">
        <f>HYPERLINK("https://wa.me/923341110496", "💬 Open WhatsApp")</f>
        <v/>
      </c>
      <c r="F14" s="4" t="n">
        <v>4.4</v>
      </c>
      <c r="G14" s="6" t="inlineStr">
        <is>
          <t>Tier 1 (Premium / Boutique)</t>
        </is>
      </c>
      <c r="H14" s="7" t="inlineStr">
        <is>
          <t>1. Not Contacted</t>
        </is>
      </c>
      <c r="I14" s="6" t="inlineStr"/>
      <c r="J14" s="6" t="inlineStr">
        <is>
          <t>High fee structure (Rs 8k - 25k/mo). Owners care about brand prestige, zero counter friction, and automated payment receipts.</t>
        </is>
      </c>
      <c r="K14" s="6" t="inlineStr">
        <is>
          <t>Automated WhatsApp Fee Receipts + Raast QR Instant Verification + Member Retention Dashboard</t>
        </is>
      </c>
      <c r="L14" s="6" t="inlineStr">
        <is>
          <t>Pro / Enterprise (Rs 7,500 - 15,000/mo)</t>
        </is>
      </c>
      <c r="M14" s="6" t="inlineStr">
        <is>
          <t>250 - 600 members</t>
        </is>
      </c>
      <c r="N14" s="6" t="inlineStr">
        <is>
          <t>4th Floor, Emerald Tower, Block 5 Clifton, Karachi, 75500, Pakistan</t>
        </is>
      </c>
      <c r="O14" s="8">
        <f>HYPERLINK("https://www.google.com/maps/place/Platinum+Fitness+%D9%BE%D9%84%D8%A7%D9%B9%DB%8C%D9%86%DB%8C%D9%85+%D9%81%D9%B9%D9%86%D8%B3%E2%80%AD/data=!4m7!3m6!1s0x3eb33dba043aaaab:0x79386e7a2f8c0a32!8m2!3d24.8218773!4d67.0340249!16s%2Fg%2F11c2p914cn!19sChIJq6o6BLo9sz4RMgqML3puOHk?authuser=0&amp;hl=en&amp;g_ep=EgoyMDI2MDkyNy4xIJJjKgBIAVAD&amp;rclk=1", "📍 View Map")</f>
        <v/>
      </c>
    </row>
    <row r="15" ht="28" customHeight="1">
      <c r="A15" s="4" t="inlineStr">
        <is>
          <t>GF-KHI-012</t>
        </is>
      </c>
      <c r="B15" s="5" t="inlineStr">
        <is>
          <t>Raw Fitness Gym</t>
        </is>
      </c>
      <c r="C15" s="4" t="inlineStr">
        <is>
          <t>Clifton</t>
        </is>
      </c>
      <c r="D15" s="6" t="inlineStr">
        <is>
          <t>+92 321 3330090</t>
        </is>
      </c>
      <c r="E15" s="8">
        <f>HYPERLINK("https://wa.me/923213330090", "💬 Open WhatsApp")</f>
        <v/>
      </c>
      <c r="F15" s="4" t="n">
        <v>4.8</v>
      </c>
      <c r="G15" s="6" t="inlineStr">
        <is>
          <t>Tier 1 (Premium / Boutique)</t>
        </is>
      </c>
      <c r="H15" s="7" t="inlineStr">
        <is>
          <t>1. Not Contacted</t>
        </is>
      </c>
      <c r="I15" s="6" t="inlineStr"/>
      <c r="J15" s="6" t="inlineStr">
        <is>
          <t>High fee structure (Rs 8k - 25k/mo). Owners care about brand prestige, zero counter friction, and automated payment receipts.</t>
        </is>
      </c>
      <c r="K15" s="6" t="inlineStr">
        <is>
          <t>Automated WhatsApp Fee Receipts + Raast QR Instant Verification + Member Retention Dashboard</t>
        </is>
      </c>
      <c r="L15" s="6" t="inlineStr">
        <is>
          <t>Pro / Enterprise (Rs 7,500 - 15,000/mo)</t>
        </is>
      </c>
      <c r="M15" s="6" t="inlineStr">
        <is>
          <t>250 - 600 members</t>
        </is>
      </c>
      <c r="N15" s="6" t="inlineStr">
        <is>
          <t>R278+8F6, Block 2 Clifton, Karachi, 75400, Pakistan</t>
        </is>
      </c>
      <c r="O15" s="8">
        <f>HYPERLINK("https://www.google.com/maps/place/Raw+Fitness+Gym/data=!4m7!3m6!1s0x3eb33ddef15cc269:0x95994b6951b26893!8m2!3d24.8132746!4d67.0161698!16s%2Fg%2F11ks34wskt!19sChIJacJc8d49sz4Rk2iyUWlLmZU?authuser=0&amp;hl=en&amp;g_ep=EgoyMDI2MDkyNy4xIJJjKgBIAVAD&amp;rclk=1", "📍 View Map")</f>
        <v/>
      </c>
    </row>
    <row r="16" ht="28" customHeight="1">
      <c r="A16" s="4" t="inlineStr">
        <is>
          <t>GF-KHI-013</t>
        </is>
      </c>
      <c r="B16" s="5" t="inlineStr">
        <is>
          <t>ALLTIME FITNESS GYM 24/7</t>
        </is>
      </c>
      <c r="C16" s="4" t="inlineStr">
        <is>
          <t>Clifton</t>
        </is>
      </c>
      <c r="D16" s="6" t="inlineStr">
        <is>
          <t>+92 330 0266329</t>
        </is>
      </c>
      <c r="E16" s="8">
        <f>HYPERLINK("https://wa.me/923300266329", "💬 Open WhatsApp")</f>
        <v/>
      </c>
      <c r="F16" s="4" t="inlineStr">
        <is>
          <t>N/A</t>
        </is>
      </c>
      <c r="G16" s="6" t="inlineStr">
        <is>
          <t>Tier 1 (Premium / Boutique)</t>
        </is>
      </c>
      <c r="H16" s="7" t="inlineStr">
        <is>
          <t>1. Not Contacted</t>
        </is>
      </c>
      <c r="I16" s="6" t="inlineStr"/>
      <c r="J16" s="6" t="inlineStr">
        <is>
          <t>High fee structure (Rs 8k - 25k/mo). Owners care about brand prestige, zero counter friction, and automated payment receipts.</t>
        </is>
      </c>
      <c r="K16" s="6" t="inlineStr">
        <is>
          <t>Automated WhatsApp Fee Receipts + Raast QR Instant Verification + Member Retention Dashboard</t>
        </is>
      </c>
      <c r="L16" s="6" t="inlineStr">
        <is>
          <t>Pro / Enterprise (Rs 7,500 - 15,000/mo)</t>
        </is>
      </c>
      <c r="M16" s="6" t="inlineStr">
        <is>
          <t>250 - 600 members</t>
        </is>
      </c>
      <c r="N16" s="6" t="inlineStr">
        <is>
          <t>1st floor, Zone C, Clifton block 7, Zone C - Block 7 Zone C Block 7 Clifton, Karachi, 75600, Pakistan</t>
        </is>
      </c>
      <c r="O16" s="8">
        <f>HYPERLINK("https://www.google.com/maps/place/ALLTIME+FITNESS+GYM+24%2F7/data=!4m7!3m6!1s0x3eb33d4c3efc486b:0x5c883b8d8e949c59!8m2!3d24.8289506!4d67.0342827!16s%2Fg%2F11zgmfmvfd!19sChIJa0j8Pkw9sz4RWZyUjo07iFw?authuser=0&amp;hl=en&amp;g_ep=EgoyMDI2MDkyNy4xIJJjKgBIAVAD&amp;rclk=1", "📍 View Map")</f>
        <v/>
      </c>
    </row>
    <row r="17" ht="28" customHeight="1">
      <c r="A17" s="4" t="inlineStr">
        <is>
          <t>GF-KHI-014</t>
        </is>
      </c>
      <c r="B17" s="5" t="inlineStr">
        <is>
          <t>New Club Sports And Fitness</t>
        </is>
      </c>
      <c r="C17" s="4" t="inlineStr">
        <is>
          <t>Clifton</t>
        </is>
      </c>
      <c r="D17" s="6" t="inlineStr">
        <is>
          <t>+92 323 2208381</t>
        </is>
      </c>
      <c r="E17" s="8">
        <f>HYPERLINK("https://wa.me/923232208381", "💬 Open WhatsApp")</f>
        <v/>
      </c>
      <c r="F17" s="4" t="n">
        <v>4.7</v>
      </c>
      <c r="G17" s="6" t="inlineStr">
        <is>
          <t>Tier 1 (Premium / Boutique)</t>
        </is>
      </c>
      <c r="H17" s="7" t="inlineStr">
        <is>
          <t>1. Not Contacted</t>
        </is>
      </c>
      <c r="I17" s="6" t="inlineStr"/>
      <c r="J17" s="6" t="inlineStr">
        <is>
          <t>High fee structure (Rs 8k - 25k/mo). Owners care about brand prestige, zero counter friction, and automated payment receipts.</t>
        </is>
      </c>
      <c r="K17" s="6" t="inlineStr">
        <is>
          <t>Automated WhatsApp Fee Receipts + Raast QR Instant Verification + Member Retention Dashboard</t>
        </is>
      </c>
      <c r="L17" s="6" t="inlineStr">
        <is>
          <t>Pro / Enterprise (Rs 7,500 - 15,000/mo)</t>
        </is>
      </c>
      <c r="M17" s="6" t="inlineStr">
        <is>
          <t>250 - 600 members</t>
        </is>
      </c>
      <c r="N17" s="6" t="inlineStr">
        <is>
          <t>&amp; clfton under pass shell pump, Ocean Towers, Shop# 37 Mehran shopping Center, Block 8 Clifton, after teen talwar before, near Schon Circle, Block 8 Clifton, Karachi, 75600, Pakistan</t>
        </is>
      </c>
      <c r="O17" s="8">
        <f>HYPERLINK("https://www.google.com/maps/place/New+Club+Sports+And+Fitness/data=!4m7!3m6!1s0x3eb33d1f83a02425:0x439e97a936c4f045!8m2!3d24.8297298!4d67.0350235!16s%2Fg%2F11cfcmsxt!19sChIJJSSggx89sz4RRfDENqmXnkM?authuser=0&amp;hl=en&amp;g_ep=EgoyMDI2MDkyNy4xIJJjKgBIAVAD&amp;rclk=1", "📍 View Map")</f>
        <v/>
      </c>
    </row>
    <row r="18" ht="28" customHeight="1">
      <c r="A18" s="4" t="inlineStr">
        <is>
          <t>GF-KHI-015</t>
        </is>
      </c>
      <c r="B18" s="5" t="inlineStr">
        <is>
          <t>The 42DC Clifton Studio</t>
        </is>
      </c>
      <c r="C18" s="4" t="inlineStr">
        <is>
          <t>Clifton</t>
        </is>
      </c>
      <c r="D18" s="6" t="inlineStr">
        <is>
          <t>+92 316 6360825</t>
        </is>
      </c>
      <c r="E18" s="8">
        <f>HYPERLINK("https://wa.me/923166360825", "💬 Open WhatsApp")</f>
        <v/>
      </c>
      <c r="F18" s="4" t="n">
        <v>4.3</v>
      </c>
      <c r="G18" s="6" t="inlineStr">
        <is>
          <t>Tier 1 (Premium / Boutique)</t>
        </is>
      </c>
      <c r="H18" s="7" t="inlineStr">
        <is>
          <t>1. Not Contacted</t>
        </is>
      </c>
      <c r="I18" s="6" t="inlineStr"/>
      <c r="J18" s="6" t="inlineStr">
        <is>
          <t>High fee structure (Rs 8k - 25k/mo). Owners care about brand prestige, zero counter friction, and automated payment receipts.</t>
        </is>
      </c>
      <c r="K18" s="6" t="inlineStr">
        <is>
          <t>Automated WhatsApp Fee Receipts + Raast QR Instant Verification + Member Retention Dashboard</t>
        </is>
      </c>
      <c r="L18" s="6" t="inlineStr">
        <is>
          <t>Pro / Enterprise (Rs 7,500 - 15,000/mo)</t>
        </is>
      </c>
      <c r="M18" s="6" t="inlineStr">
        <is>
          <t>250 - 600 members</t>
        </is>
      </c>
      <c r="N18" s="6" t="inlineStr">
        <is>
          <t>R2HP+F3G, Block 8 Clifton, Karachi, 75600, Pakistan</t>
        </is>
      </c>
      <c r="O18" s="8">
        <f>HYPERLINK("https://www.google.com/maps/place/The+42DC+Clifton+Studio/data=!4m7!3m6!1s0x3eb33dae026710c1:0xd1fe009dddca9c18!8m2!3d24.8286875!4d67.0351875!16s%2Fg%2F11fk427k6q!19sChIJwRBnAq49sz4RGJzK3Z0A_tE?authuser=0&amp;hl=en&amp;g_ep=EgoyMDI2MDkyNy4xIJJjKgBIAVAD&amp;rclk=1", "📍 View Map")</f>
        <v/>
      </c>
    </row>
    <row r="19" ht="28" customHeight="1">
      <c r="A19" s="4" t="inlineStr">
        <is>
          <t>GF-KHI-016</t>
        </is>
      </c>
      <c r="B19" s="5" t="inlineStr">
        <is>
          <t>Dynamik Training Systems</t>
        </is>
      </c>
      <c r="C19" s="4" t="inlineStr">
        <is>
          <t>Clifton</t>
        </is>
      </c>
      <c r="D19" s="6" t="inlineStr">
        <is>
          <t>+92 336 1118854</t>
        </is>
      </c>
      <c r="E19" s="8">
        <f>HYPERLINK("https://wa.me/923361118854", "💬 Open WhatsApp")</f>
        <v/>
      </c>
      <c r="F19" s="4" t="n">
        <v>4.8</v>
      </c>
      <c r="G19" s="6" t="inlineStr">
        <is>
          <t>Tier 1 (Premium / Boutique)</t>
        </is>
      </c>
      <c r="H19" s="7" t="inlineStr">
        <is>
          <t>1. Not Contacted</t>
        </is>
      </c>
      <c r="I19" s="6" t="inlineStr"/>
      <c r="J19" s="6" t="inlineStr">
        <is>
          <t>High fee structure (Rs 8k - 25k/mo). Owners care about brand prestige, zero counter friction, and automated payment receipts.</t>
        </is>
      </c>
      <c r="K19" s="6" t="inlineStr">
        <is>
          <t>Automated WhatsApp Fee Receipts + Raast QR Instant Verification + Member Retention Dashboard</t>
        </is>
      </c>
      <c r="L19" s="6" t="inlineStr">
        <is>
          <t>Pro / Enterprise (Rs 7,500 - 15,000/mo)</t>
        </is>
      </c>
      <c r="M19" s="6" t="inlineStr">
        <is>
          <t>250 - 600 members</t>
        </is>
      </c>
      <c r="N19" s="6" t="inlineStr">
        <is>
          <t>F, 78, Block 5 Kehkashan Block 5 Clifton, Karachi, 75500, Pakistan</t>
        </is>
      </c>
      <c r="O19" s="8">
        <f>HYPERLINK("https://www.google.com/maps/place/Dynamik+Training+Systems/data=!4m7!3m6!1s0x3eb33df8dad02929:0x83774bfe804a1297!8m2!3d24.820308!4d67.0292277!16s%2Fg%2F11h0t32m22!19sChIJKSnQ2vg9sz4RlxJKgP5Ld4M?authuser=0&amp;hl=en&amp;g_ep=EgoyMDI2MDkyNy4xIJJjKgBIAVAD&amp;rclk=1", "📍 View Map")</f>
        <v/>
      </c>
    </row>
    <row r="20" ht="28" customHeight="1">
      <c r="A20" s="4" t="inlineStr">
        <is>
          <t>GF-KHI-017</t>
        </is>
      </c>
      <c r="B20" s="5" t="inlineStr">
        <is>
          <t>Cross+7 fitness (Co)</t>
        </is>
      </c>
      <c r="C20" s="4" t="inlineStr">
        <is>
          <t>Clifton</t>
        </is>
      </c>
      <c r="D20" s="6" t="inlineStr">
        <is>
          <t>+92 300 2060900</t>
        </is>
      </c>
      <c r="E20" s="8">
        <f>HYPERLINK("https://wa.me/923002060900", "💬 Open WhatsApp")</f>
        <v/>
      </c>
      <c r="F20" s="4" t="n">
        <v>2.3</v>
      </c>
      <c r="G20" s="6" t="inlineStr">
        <is>
          <t>Tier 1 (Premium / Boutique)</t>
        </is>
      </c>
      <c r="H20" s="7" t="inlineStr">
        <is>
          <t>1. Not Contacted</t>
        </is>
      </c>
      <c r="I20" s="6" t="inlineStr"/>
      <c r="J20" s="6" t="inlineStr">
        <is>
          <t>High fee structure (Rs 8k - 25k/mo). Owners care about brand prestige, zero counter friction, and automated payment receipts.</t>
        </is>
      </c>
      <c r="K20" s="6" t="inlineStr">
        <is>
          <t>Automated WhatsApp Fee Receipts + Raast QR Instant Verification + Member Retention Dashboard</t>
        </is>
      </c>
      <c r="L20" s="6" t="inlineStr">
        <is>
          <t>Pro / Enterprise (Rs 7,500 - 15,000/mo)</t>
        </is>
      </c>
      <c r="M20" s="6" t="inlineStr">
        <is>
          <t>250 - 600 members</t>
        </is>
      </c>
      <c r="N20" s="6" t="inlineStr">
        <is>
          <t>Neighborhood Park, Ibn-e-Qasim Park Road, Block 4 Block 3 Clifton, Karachi, 75600, Pakistan</t>
        </is>
      </c>
      <c r="O20" s="8">
        <f>HYPERLINK("https://www.google.com/maps/place/Cross%2B7+fitness+%28Co%29/data=!4m7!3m6!1s0x3eb33d006510d641:0xec3def7669253335!8m2!3d24.8092303!4d67.0288119!16s%2Fg%2F11yv3rzbsn!19sChIJQdYQZQA9sz4RNTMlaXbvPew?authuser=0&amp;hl=en&amp;g_ep=EgoyMDI2MDkyNy4xIJJjKgBIAVAD&amp;rclk=1", "📍 View Map")</f>
        <v/>
      </c>
    </row>
    <row r="21" ht="28" customHeight="1">
      <c r="A21" s="4" t="inlineStr">
        <is>
          <t>GF-KHI-018</t>
        </is>
      </c>
      <c r="B21" s="5" t="inlineStr">
        <is>
          <t>Aesthetic Strength Gym</t>
        </is>
      </c>
      <c r="C21" s="4" t="inlineStr">
        <is>
          <t>Clifton</t>
        </is>
      </c>
      <c r="D21" s="6" t="inlineStr">
        <is>
          <t>+92 300 2583704</t>
        </is>
      </c>
      <c r="E21" s="8">
        <f>HYPERLINK("https://wa.me/923002583704", "💬 Open WhatsApp")</f>
        <v/>
      </c>
      <c r="F21" s="4" t="n">
        <v>4.4</v>
      </c>
      <c r="G21" s="6" t="inlineStr">
        <is>
          <t>Tier 1 (Premium / Boutique)</t>
        </is>
      </c>
      <c r="H21" s="7" t="inlineStr">
        <is>
          <t>1. Not Contacted</t>
        </is>
      </c>
      <c r="I21" s="6" t="inlineStr"/>
      <c r="J21" s="6" t="inlineStr">
        <is>
          <t>High fee structure (Rs 8k - 25k/mo). Owners care about brand prestige, zero counter friction, and automated payment receipts.</t>
        </is>
      </c>
      <c r="K21" s="6" t="inlineStr">
        <is>
          <t>Automated WhatsApp Fee Receipts + Raast QR Instant Verification + Member Retention Dashboard</t>
        </is>
      </c>
      <c r="L21" s="6" t="inlineStr">
        <is>
          <t>Pro / Enterprise (Rs 7,500 - 15,000/mo)</t>
        </is>
      </c>
      <c r="M21" s="6" t="inlineStr">
        <is>
          <t>250 - 600 members</t>
        </is>
      </c>
      <c r="N21" s="6" t="inlineStr">
        <is>
          <t>Block-3, Mezzanine Floor, Sahil promenade appartment, Plot No.COM. 2/2, 2/3, Block 3 Clifton, Karachi, Pakistan</t>
        </is>
      </c>
      <c r="O21" s="8">
        <f>HYPERLINK("https://www.google.com/maps/place/Aesthetic+Strength+Gym/data=!4m7!3m6!1s0x3eb33d8fe3c6651f:0xe2d7aef677350742!8m2!3d24.809599!4d67.0186018!16s%2Fg%2F11hbs_lt7n!19sChIJH2XG4489sz4RQgc1d_au1-I?authuser=0&amp;hl=en&amp;g_ep=EgoyMDI2MDkyNy4xIJJjKgBIAVAD&amp;rclk=1", "📍 View Map")</f>
        <v/>
      </c>
    </row>
    <row r="22" ht="28" customHeight="1">
      <c r="A22" s="4" t="inlineStr">
        <is>
          <t>GF-KHI-019</t>
        </is>
      </c>
      <c r="B22" s="5" t="inlineStr">
        <is>
          <t>Rania Fitness Gym (LadiesGym)</t>
        </is>
      </c>
      <c r="C22" s="4" t="inlineStr">
        <is>
          <t>Clifton</t>
        </is>
      </c>
      <c r="D22" s="6" t="inlineStr">
        <is>
          <t>+92 306 1031000</t>
        </is>
      </c>
      <c r="E22" s="8">
        <f>HYPERLINK("https://wa.me/923061031000", "💬 Open WhatsApp")</f>
        <v/>
      </c>
      <c r="F22" s="4" t="n">
        <v>5</v>
      </c>
      <c r="G22" s="6" t="inlineStr">
        <is>
          <t>Tier 1 (Premium / Boutique)</t>
        </is>
      </c>
      <c r="H22" s="7" t="inlineStr">
        <is>
          <t>1. Not Contacted</t>
        </is>
      </c>
      <c r="I22" s="6" t="inlineStr"/>
      <c r="J22" s="6" t="inlineStr">
        <is>
          <t>High fee structure (Rs 8k - 25k/mo). Owners care about brand prestige, zero counter friction, and automated payment receipts.</t>
        </is>
      </c>
      <c r="K22" s="6" t="inlineStr">
        <is>
          <t>Automated WhatsApp Fee Receipts + Raast QR Instant Verification + Member Retention Dashboard</t>
        </is>
      </c>
      <c r="L22" s="6" t="inlineStr">
        <is>
          <t>Pro / Enterprise (Rs 7,500 - 15,000/mo)</t>
        </is>
      </c>
      <c r="M22" s="6" t="inlineStr">
        <is>
          <t>250 - 600 members</t>
        </is>
      </c>
      <c r="N22" s="6" t="inlineStr">
        <is>
          <t>Block-1, 66, Shireen Jinnah Colony Block 1 Clifton, Karachi, 75900, Pakistan</t>
        </is>
      </c>
      <c r="O22" s="8">
        <f>HYPERLINK("https://www.google.com/maps/place/Rania+Fitness+Gym+%28LadiesGym%29/data=!4m7!3m6!1s0x3eb33dcabf8a1b7f:0x69cb7004d79bff24!8m2!3d24.8329722!4d67.0471308!16s%2Fg%2F11hcxbxb7x!19sChIJfxuKv8o9sz4RJP-b1wRwy2k?authuser=0&amp;hl=en&amp;g_ep=EgoyMDI2MDkyNy4xIJJjKgBIAVAD&amp;rclk=1", "📍 View Map")</f>
        <v/>
      </c>
    </row>
    <row r="23" ht="28" customHeight="1">
      <c r="A23" s="4" t="inlineStr">
        <is>
          <t>GF-KHI-020</t>
        </is>
      </c>
      <c r="B23" s="5" t="inlineStr">
        <is>
          <t>Fitness Emporium - Best Gym In Gulshan</t>
        </is>
      </c>
      <c r="C23" s="4" t="inlineStr">
        <is>
          <t>Gulshan-e-Iqbal</t>
        </is>
      </c>
      <c r="D23" s="6" t="inlineStr">
        <is>
          <t>+92 339 2120444</t>
        </is>
      </c>
      <c r="E23" s="8">
        <f>HYPERLINK("https://wa.me/923392120444", "💬 Open WhatsApp")</f>
        <v/>
      </c>
      <c r="F23" s="4" t="n">
        <v>4.8</v>
      </c>
      <c r="G23" s="6" t="inlineStr">
        <is>
          <t>Tier 2 (High-Volume Mid-Market)</t>
        </is>
      </c>
      <c r="H23" s="7" t="inlineStr">
        <is>
          <t>1. Not Contacted</t>
        </is>
      </c>
      <c r="I23" s="6" t="inlineStr"/>
      <c r="J23" s="6" t="inlineStr">
        <is>
          <t>High member turnover &amp; unpaid fee leakage (15-25% dues delay). Pitch automated WhatsApp reminders and daily cash ledger.</t>
        </is>
      </c>
      <c r="K23" s="6" t="inlineStr">
        <is>
          <t>Eliminate Unpaid Member Dues with 3-Day Automated WhatsApp Payment Reminders</t>
        </is>
      </c>
      <c r="L23" s="6" t="inlineStr">
        <is>
          <t>Starter / Pro (Rs 3,500 - 7,500/mo)</t>
        </is>
      </c>
      <c r="M23" s="6" t="inlineStr">
        <is>
          <t>150 - 350 members</t>
        </is>
      </c>
      <c r="N23" s="6" t="inlineStr">
        <is>
          <t>W39M+99H, B-12, Block 1 Gulshan-e-Iqbal, Karachi, 75300, Pakistan</t>
        </is>
      </c>
      <c r="O23" s="8">
        <f>HYPERLINK("https://www.google.com/maps/place/Fitness+Emporium+-+Best+Gym+In+Gulshan/data=!4m7!3m6!1s0x3eb33f3e14a5dc51:0x6a1854ce35ee198c!8m2!3d24.9179659!4d67.0828528!16s%2Fg%2F11rk8dd0fv!19sChIJUdylFD4_sz4RjBnuNc5UGGo?authuser=0&amp;hl=en&amp;g_ep=EgoyMDI2MDkyNy4xIJJjKgBIAVAD&amp;rclk=1", "📍 View Map")</f>
        <v/>
      </c>
    </row>
    <row r="24" ht="28" customHeight="1">
      <c r="A24" s="4" t="inlineStr">
        <is>
          <t>GF-KHI-021</t>
        </is>
      </c>
      <c r="B24" s="5" t="inlineStr">
        <is>
          <t>Pure Fitness Gym (Branch 3)</t>
        </is>
      </c>
      <c r="C24" s="4" t="inlineStr">
        <is>
          <t>Gulshan-e-Iqbal</t>
        </is>
      </c>
      <c r="D24" s="6" t="inlineStr">
        <is>
          <t>+92 335 2846360</t>
        </is>
      </c>
      <c r="E24" s="8">
        <f>HYPERLINK("https://wa.me/923352846360", "💬 Open WhatsApp")</f>
        <v/>
      </c>
      <c r="F24" s="4" t="n">
        <v>4.6</v>
      </c>
      <c r="G24" s="6" t="inlineStr">
        <is>
          <t>Tier 2 (High-Volume Mid-Market)</t>
        </is>
      </c>
      <c r="H24" s="7" t="inlineStr">
        <is>
          <t>1. Not Contacted</t>
        </is>
      </c>
      <c r="I24" s="6" t="inlineStr"/>
      <c r="J24" s="6" t="inlineStr">
        <is>
          <t>High member turnover &amp; unpaid fee leakage (15-25% dues delay). Pitch automated WhatsApp reminders and daily cash ledger.</t>
        </is>
      </c>
      <c r="K24" s="6" t="inlineStr">
        <is>
          <t>Eliminate Unpaid Member Dues with 3-Day Automated WhatsApp Payment Reminders</t>
        </is>
      </c>
      <c r="L24" s="6" t="inlineStr">
        <is>
          <t>Starter / Pro (Rs 3,500 - 7,500/mo)</t>
        </is>
      </c>
      <c r="M24" s="6" t="inlineStr">
        <is>
          <t>150 - 350 members</t>
        </is>
      </c>
      <c r="N24" s="6" t="inlineStr">
        <is>
          <t>A-43 Own Ctr Rd, near Noman Complex, Block 13D-3 Block 13 D 3 Gulshan-e-Iqbal, Karachi, 75300, Pakistan</t>
        </is>
      </c>
      <c r="O24" s="8">
        <f>HYPERLINK("https://www.google.com/maps/place/Pure+Fitness+Gym+%28Branch+3%29/data=!4m7!3m6!1s0x3eb33ffc2dfee3a5:0x8649a802ee7d762!8m2!3d24.9061104!4d67.0695084!16s%2Fg%2F11w1vfjfck!19sChIJpeP-Lfw_sz4RYtfnLoCaZAg?authuser=0&amp;hl=en&amp;g_ep=EgoyMDI2MDkyNy4xIJJjKgBIAVAD&amp;rclk=1", "📍 View Map")</f>
        <v/>
      </c>
    </row>
    <row r="25" ht="28" customHeight="1">
      <c r="A25" s="4" t="inlineStr">
        <is>
          <t>GF-KHI-022</t>
        </is>
      </c>
      <c r="B25" s="5" t="inlineStr">
        <is>
          <t>FiGym Ladies Fitness Club</t>
        </is>
      </c>
      <c r="C25" s="4" t="inlineStr">
        <is>
          <t>Gulshan-e-Iqbal</t>
        </is>
      </c>
      <c r="D25" s="6" t="inlineStr">
        <is>
          <t>+92 312 3378616</t>
        </is>
      </c>
      <c r="E25" s="8">
        <f>HYPERLINK("https://wa.me/923123378616", "💬 Open WhatsApp")</f>
        <v/>
      </c>
      <c r="F25" s="4" t="n">
        <v>4.8</v>
      </c>
      <c r="G25" s="6" t="inlineStr">
        <is>
          <t>Tier 1 (Premium / Boutique)</t>
        </is>
      </c>
      <c r="H25" s="7" t="inlineStr">
        <is>
          <t>1. Not Contacted</t>
        </is>
      </c>
      <c r="I25" s="6" t="inlineStr"/>
      <c r="J25" s="6" t="inlineStr">
        <is>
          <t>High fee structure (Rs 8k - 25k/mo). Owners care about brand prestige, zero counter friction, and automated payment receipts.</t>
        </is>
      </c>
      <c r="K25" s="6" t="inlineStr">
        <is>
          <t>Automated WhatsApp Fee Receipts + Raast QR Instant Verification + Member Retention Dashboard</t>
        </is>
      </c>
      <c r="L25" s="6" t="inlineStr">
        <is>
          <t>Pro / Enterprise (Rs 7,500 - 15,000/mo)</t>
        </is>
      </c>
      <c r="M25" s="6" t="inlineStr">
        <is>
          <t>250 - 600 members</t>
        </is>
      </c>
      <c r="N25" s="6" t="inlineStr">
        <is>
          <t>B-4, 4th Floor, Al-Shams Center, Block 13-A University Road, 13 A, Block 13 A Gulshan-e-Iqbal, Karachi, 75300, Pakistan</t>
        </is>
      </c>
      <c r="O25" s="8">
        <f>HYPERLINK("https://www.google.com/maps/place/FiGym+Ladies+Fitness+Club/data=!4m7!3m6!1s0x3eb33f12eaf7e221:0x4d973ef40f477840!8m2!3d24.9038499!4d67.0767552!16s%2Fg%2F11vs0w1c3g!19sChIJIeL36hI_sz4RQHhHD_Q-l00?authuser=0&amp;hl=en&amp;g_ep=EgoyMDI2MDkyNy4xIJJjKgBIAVAD&amp;rclk=1", "📍 View Map")</f>
        <v/>
      </c>
    </row>
    <row r="26" ht="28" customHeight="1">
      <c r="A26" s="4" t="inlineStr">
        <is>
          <t>GF-KHI-023</t>
        </is>
      </c>
      <c r="B26" s="5" t="inlineStr">
        <is>
          <t>Pure Fitness Gym 1</t>
        </is>
      </c>
      <c r="C26" s="4" t="inlineStr">
        <is>
          <t>Gulshan-e-Iqbal</t>
        </is>
      </c>
      <c r="D26" s="6" t="inlineStr">
        <is>
          <t>+92 321 2304035</t>
        </is>
      </c>
      <c r="E26" s="8">
        <f>HYPERLINK("https://wa.me/923212304035", "💬 Open WhatsApp")</f>
        <v/>
      </c>
      <c r="F26" s="4" t="n">
        <v>4.1</v>
      </c>
      <c r="G26" s="6" t="inlineStr">
        <is>
          <t>Tier 2 (High-Volume Mid-Market)</t>
        </is>
      </c>
      <c r="H26" s="7" t="inlineStr">
        <is>
          <t>1. Not Contacted</t>
        </is>
      </c>
      <c r="I26" s="6" t="inlineStr"/>
      <c r="J26" s="6" t="inlineStr">
        <is>
          <t>High member turnover &amp; unpaid fee leakage (15-25% dues delay). Pitch automated WhatsApp reminders and daily cash ledger.</t>
        </is>
      </c>
      <c r="K26" s="6" t="inlineStr">
        <is>
          <t>Eliminate Unpaid Member Dues with 3-Day Automated WhatsApp Payment Reminders</t>
        </is>
      </c>
      <c r="L26" s="6" t="inlineStr">
        <is>
          <t>Starter / Pro (Rs 3,500 - 7,500/mo)</t>
        </is>
      </c>
      <c r="M26" s="6" t="inlineStr">
        <is>
          <t>150 - 350 members</t>
        </is>
      </c>
      <c r="N26" s="6" t="inlineStr">
        <is>
          <t>Aqsa Tower, Rashid Minhas Rd Service Ln, Block 10 A Gulshan-e-Iqbal, Karachi, Pakistan</t>
        </is>
      </c>
      <c r="O26" s="8">
        <f>HYPERLINK("https://www.google.com/maps/place/Pure+Fitness+Gym+1/data=!4m7!3m6!1s0x3eb338d866a04367:0x31a88870594dc49b!8m2!3d24.9083554!4d67.108436!16s%2Fg%2F11csqwytpf!19sChIJZ0OgZtg4sz4Rm8RNWXCIqDE?authuser=0&amp;hl=en&amp;g_ep=EgoyMDI2MDkyNy4xIJJjKgBIAVAD&amp;rclk=1", "📍 View Map")</f>
        <v/>
      </c>
    </row>
    <row r="27" ht="28" customHeight="1">
      <c r="A27" s="4" t="inlineStr">
        <is>
          <t>GF-KHI-024</t>
        </is>
      </c>
      <c r="B27" s="5" t="inlineStr">
        <is>
          <t>Planet Fitness Gym</t>
        </is>
      </c>
      <c r="C27" s="4" t="inlineStr">
        <is>
          <t>Gulshan-e-Iqbal</t>
        </is>
      </c>
      <c r="D27" s="6" t="inlineStr">
        <is>
          <t>+92 309 4995248</t>
        </is>
      </c>
      <c r="E27" s="8">
        <f>HYPERLINK("https://wa.me/923094995248", "💬 Open WhatsApp")</f>
        <v/>
      </c>
      <c r="F27" s="4" t="n">
        <v>4.7</v>
      </c>
      <c r="G27" s="6" t="inlineStr">
        <is>
          <t>Tier 2 (High-Volume Mid-Market)</t>
        </is>
      </c>
      <c r="H27" s="7" t="inlineStr">
        <is>
          <t>1. Not Contacted</t>
        </is>
      </c>
      <c r="I27" s="6" t="inlineStr"/>
      <c r="J27" s="6" t="inlineStr">
        <is>
          <t>High member turnover &amp; unpaid fee leakage (15-25% dues delay). Pitch automated WhatsApp reminders and daily cash ledger.</t>
        </is>
      </c>
      <c r="K27" s="6" t="inlineStr">
        <is>
          <t>Eliminate Unpaid Member Dues with 3-Day Automated WhatsApp Payment Reminders</t>
        </is>
      </c>
      <c r="L27" s="6" t="inlineStr">
        <is>
          <t>Starter / Pro (Rs 3,500 - 7,500/mo)</t>
        </is>
      </c>
      <c r="M27" s="6" t="inlineStr">
        <is>
          <t>150 - 350 members</t>
        </is>
      </c>
      <c r="N27" s="6" t="inlineStr">
        <is>
          <t>E 112, Railway Society Gulshan e Iqbal Block 13 A Gulshan-e-Iqbal, Karachi, Pakistan</t>
        </is>
      </c>
      <c r="O27" s="8">
        <f>HYPERLINK("https://www.google.com/maps/place/Planet+Fitness+Gym/data=!4m7!3m6!1s0x3eb33f00660420af:0x60de35d363021ff5!8m2!3d24.928815!4d67.0939197!16s%2Fg%2F11mzjw3khg!19sChIJryAEZgA_sz4R9R8CY9M13mA?authuser=0&amp;hl=en&amp;g_ep=EgoyMDI2MDkyNy4xIJJjKgBIAVAD&amp;rclk=1", "📍 View Map")</f>
        <v/>
      </c>
    </row>
    <row r="28" ht="28" customHeight="1">
      <c r="A28" s="4" t="inlineStr">
        <is>
          <t>GF-KHI-025</t>
        </is>
      </c>
      <c r="B28" s="5" t="inlineStr">
        <is>
          <t>Body to Build Gym</t>
        </is>
      </c>
      <c r="C28" s="4" t="inlineStr">
        <is>
          <t>Gulshan-e-Iqbal</t>
        </is>
      </c>
      <c r="D28" s="6" t="inlineStr">
        <is>
          <t>+92 300 2737198</t>
        </is>
      </c>
      <c r="E28" s="8">
        <f>HYPERLINK("https://wa.me/923002737198", "💬 Open WhatsApp")</f>
        <v/>
      </c>
      <c r="F28" s="4" t="n">
        <v>4.6</v>
      </c>
      <c r="G28" s="6" t="inlineStr">
        <is>
          <t>Tier 2 (High-Volume Mid-Market)</t>
        </is>
      </c>
      <c r="H28" s="7" t="inlineStr">
        <is>
          <t>1. Not Contacted</t>
        </is>
      </c>
      <c r="I28" s="6" t="inlineStr"/>
      <c r="J28" s="6" t="inlineStr">
        <is>
          <t>High member turnover &amp; unpaid fee leakage (15-25% dues delay). Pitch automated WhatsApp reminders and daily cash ledger.</t>
        </is>
      </c>
      <c r="K28" s="6" t="inlineStr">
        <is>
          <t>Eliminate Unpaid Member Dues with 3-Day Automated WhatsApp Payment Reminders</t>
        </is>
      </c>
      <c r="L28" s="6" t="inlineStr">
        <is>
          <t>Starter / Pro (Rs 3,500 - 7,500/mo)</t>
        </is>
      </c>
      <c r="M28" s="6" t="inlineStr">
        <is>
          <t>150 - 350 members</t>
        </is>
      </c>
      <c r="N28" s="6" t="inlineStr">
        <is>
          <t>W37X+F3G, Block 10 Gulshan-e-Iqbal, Karachi, Pakistan</t>
        </is>
      </c>
      <c r="O28" s="8">
        <f>HYPERLINK("https://www.google.com/maps/place/Body+to+Build+Gym/data=!4m7!3m6!1s0x3eb339ad98583873:0xab42745872d686f9!8m2!3d24.9136875!4d67.0976875!16s%2Fg%2F11ljt679p7!19sChIJczhYmK05sz4R-YbWclh0Qqs?authuser=0&amp;hl=en&amp;g_ep=EgoyMDI2MDkyNy4xIJJjKgBIAVAD&amp;rclk=1", "📍 View Map")</f>
        <v/>
      </c>
    </row>
    <row r="29" ht="28" customHeight="1">
      <c r="A29" s="4" t="inlineStr">
        <is>
          <t>GF-KHI-026</t>
        </is>
      </c>
      <c r="B29" s="5" t="inlineStr">
        <is>
          <t>T.R Body Fitness Studio - Chapter 2</t>
        </is>
      </c>
      <c r="C29" s="4" t="inlineStr">
        <is>
          <t>Gulshan-e-Iqbal</t>
        </is>
      </c>
      <c r="D29" s="6" t="inlineStr">
        <is>
          <t>+92 301 0310928</t>
        </is>
      </c>
      <c r="E29" s="8">
        <f>HYPERLINK("https://wa.me/923010310928", "💬 Open WhatsApp")</f>
        <v/>
      </c>
      <c r="F29" s="4" t="n">
        <v>4.6</v>
      </c>
      <c r="G29" s="6" t="inlineStr">
        <is>
          <t>Tier 1 (Premium / Boutique)</t>
        </is>
      </c>
      <c r="H29" s="7" t="inlineStr">
        <is>
          <t>1. Not Contacted</t>
        </is>
      </c>
      <c r="I29" s="6" t="inlineStr"/>
      <c r="J29" s="6" t="inlineStr">
        <is>
          <t>High fee structure (Rs 8k - 25k/mo). Owners care about brand prestige, zero counter friction, and automated payment receipts.</t>
        </is>
      </c>
      <c r="K29" s="6" t="inlineStr">
        <is>
          <t>Automated WhatsApp Fee Receipts + Raast QR Instant Verification + Member Retention Dashboard</t>
        </is>
      </c>
      <c r="L29" s="6" t="inlineStr">
        <is>
          <t>Pro / Enterprise (Rs 7,500 - 15,000/mo)</t>
        </is>
      </c>
      <c r="M29" s="6" t="inlineStr">
        <is>
          <t>250 - 600 members</t>
        </is>
      </c>
      <c r="N29" s="6" t="inlineStr">
        <is>
          <t>Office No# M-4, Waqas Height, Block 13D-1 Block 13 D 1 Gulshan-e-Iqbal, Karachi, Pakistan</t>
        </is>
      </c>
      <c r="O29" s="8">
        <f>HYPERLINK("https://www.google.com/maps/place/T.R+Body+Fitness+Studio+-+Chapter+2/data=!4m7!3m6!1s0x3eb33f045887cd73:0x554942195e5e9531!8m2!3d24.9129267!4d67.0808609!16s%2Fg%2F11jzktmyvf!19sChIJc82HWAQ_sz4RMZVeXhlCSVU?authuser=0&amp;hl=en&amp;g_ep=EgoyMDI2MDkyNy4xIJJjKgBIAVAD&amp;rclk=1", "📍 View Map")</f>
        <v/>
      </c>
    </row>
    <row r="30" ht="28" customHeight="1">
      <c r="A30" s="4" t="inlineStr">
        <is>
          <t>GF-KHI-027</t>
        </is>
      </c>
      <c r="B30" s="5" t="inlineStr">
        <is>
          <t>Janghir gym chapter 2</t>
        </is>
      </c>
      <c r="C30" s="4" t="inlineStr">
        <is>
          <t>Gulshan-e-Iqbal</t>
        </is>
      </c>
      <c r="D30" s="6" t="inlineStr">
        <is>
          <t>+92 312 1123360</t>
        </is>
      </c>
      <c r="E30" s="8">
        <f>HYPERLINK("https://wa.me/923121123360", "💬 Open WhatsApp")</f>
        <v/>
      </c>
      <c r="F30" s="4" t="n">
        <v>5</v>
      </c>
      <c r="G30" s="6" t="inlineStr">
        <is>
          <t>Tier 2 (High-Volume Mid-Market)</t>
        </is>
      </c>
      <c r="H30" s="7" t="inlineStr">
        <is>
          <t>1. Not Contacted</t>
        </is>
      </c>
      <c r="I30" s="6" t="inlineStr"/>
      <c r="J30" s="6" t="inlineStr">
        <is>
          <t>High member turnover &amp; unpaid fee leakage (15-25% dues delay). Pitch automated WhatsApp reminders and daily cash ledger.</t>
        </is>
      </c>
      <c r="K30" s="6" t="inlineStr">
        <is>
          <t>Eliminate Unpaid Member Dues with 3-Day Automated WhatsApp Payment Reminders</t>
        </is>
      </c>
      <c r="L30" s="6" t="inlineStr">
        <is>
          <t>Starter / Pro (Rs 3,500 - 7,500/mo)</t>
        </is>
      </c>
      <c r="M30" s="6" t="inlineStr">
        <is>
          <t>150 - 350 members</t>
        </is>
      </c>
      <c r="N30" s="6" t="inlineStr">
        <is>
          <t>W33J+H3H, Block 16 Gulshan-e-Iqbal, Karachi, Pakistan</t>
        </is>
      </c>
      <c r="O30" s="8">
        <f>HYPERLINK("https://www.google.com/maps/place/Janghir+gym+chapter+2/data=!4m7!3m6!1s0x3eb33f007f10a51f:0x2ba9938af860ae5!8m2!3d24.9038913!4d67.0802138!16s%2Fg%2F11nq0f7w10!19sChIJH6UQfwA_sz4R5QqGrziZugI?authuser=0&amp;hl=en&amp;g_ep=EgoyMDI2MDkyNy4xIJJjKgBIAVAD&amp;rclk=1", "📍 View Map")</f>
        <v/>
      </c>
    </row>
    <row r="31" ht="28" customHeight="1">
      <c r="A31" s="4" t="inlineStr">
        <is>
          <t>GF-KHI-028</t>
        </is>
      </c>
      <c r="B31" s="5" t="inlineStr">
        <is>
          <t>Ellipse Fitness Club</t>
        </is>
      </c>
      <c r="C31" s="4" t="inlineStr">
        <is>
          <t>PECHS</t>
        </is>
      </c>
      <c r="D31" s="6" t="inlineStr">
        <is>
          <t>+92 300 2222893</t>
        </is>
      </c>
      <c r="E31" s="8">
        <f>HYPERLINK("https://wa.me/923002222893", "💬 Open WhatsApp")</f>
        <v/>
      </c>
      <c r="F31" s="4" t="n">
        <v>4.7</v>
      </c>
      <c r="G31" s="6" t="inlineStr">
        <is>
          <t>Tier 1 (Premium / Boutique)</t>
        </is>
      </c>
      <c r="H31" s="7" t="inlineStr">
        <is>
          <t>1. Not Contacted</t>
        </is>
      </c>
      <c r="I31" s="6" t="inlineStr"/>
      <c r="J31" s="6" t="inlineStr">
        <is>
          <t>High fee structure (Rs 8k - 25k/mo). Owners care about brand prestige, zero counter friction, and automated payment receipts.</t>
        </is>
      </c>
      <c r="K31" s="6" t="inlineStr">
        <is>
          <t>Automated WhatsApp Fee Receipts + Raast QR Instant Verification + Member Retention Dashboard</t>
        </is>
      </c>
      <c r="L31" s="6" t="inlineStr">
        <is>
          <t>Pro / Enterprise (Rs 7,500 - 15,000/mo)</t>
        </is>
      </c>
      <c r="M31" s="6" t="inlineStr">
        <is>
          <t>250 - 600 members</t>
        </is>
      </c>
      <c r="N31" s="6" t="inlineStr">
        <is>
          <t>4-J, Block-6 PECHS Extension Block 6 P.E.C.H.S., Karachi, Pakistan</t>
        </is>
      </c>
      <c r="O31" s="8">
        <f>HYPERLINK("https://www.google.com/maps/place/Ellipse+Fitness+Club/data=!4m7!3m6!1s0x3eb33f8df1f9643b:0x2f6a28d2af976da7!8m2!3d24.8585873!4d67.0617485!16s%2Fg%2F11sd6g5bbb!19sChIJO2T58Y0_sz4Rp22Xr9Ioai8?authuser=0&amp;hl=en&amp;g_ep=EgoyMDI2MDkyNy4xIJJjKgBIAVAD&amp;rclk=1", "📍 View Map")</f>
        <v/>
      </c>
    </row>
    <row r="32" ht="28" customHeight="1">
      <c r="A32" s="4" t="inlineStr">
        <is>
          <t>GF-KHI-029</t>
        </is>
      </c>
      <c r="B32" s="5" t="inlineStr">
        <is>
          <t>Fitbox Gym</t>
        </is>
      </c>
      <c r="C32" s="4" t="inlineStr">
        <is>
          <t>PECHS</t>
        </is>
      </c>
      <c r="D32" s="6" t="inlineStr">
        <is>
          <t>+92 341 2279269</t>
        </is>
      </c>
      <c r="E32" s="8">
        <f>HYPERLINK("https://wa.me/923412279269", "💬 Open WhatsApp")</f>
        <v/>
      </c>
      <c r="F32" s="4" t="n">
        <v>4.7</v>
      </c>
      <c r="G32" s="6" t="inlineStr">
        <is>
          <t>Tier 2 (High-Volume Mid-Market)</t>
        </is>
      </c>
      <c r="H32" s="7" t="inlineStr">
        <is>
          <t>1. Not Contacted</t>
        </is>
      </c>
      <c r="I32" s="6" t="inlineStr"/>
      <c r="J32" s="6" t="inlineStr">
        <is>
          <t>High member turnover &amp; unpaid fee leakage (15-25% dues delay). Pitch automated WhatsApp reminders and daily cash ledger.</t>
        </is>
      </c>
      <c r="K32" s="6" t="inlineStr">
        <is>
          <t>Eliminate Unpaid Member Dues with 3-Day Automated WhatsApp Payment Reminders</t>
        </is>
      </c>
      <c r="L32" s="6" t="inlineStr">
        <is>
          <t>Starter / Pro (Rs 3,500 - 7,500/mo)</t>
        </is>
      </c>
      <c r="M32" s="6" t="inlineStr">
        <is>
          <t>150 - 350 members</t>
        </is>
      </c>
      <c r="N32" s="6" t="inlineStr">
        <is>
          <t>Mezannine Floor, Surya Residency, Sir Syed Road, opposite Imtiaz Store, Block 2 P.E.C.H.S., Karachi, 74400, Pakistan</t>
        </is>
      </c>
      <c r="O32" s="8">
        <f>HYPERLINK("https://www.google.com/maps/place/Fitbox+Gym/data=!4m7!3m6!1s0x3eb33f10842766c1:0x5c894059fd994953!8m2!3d24.876582!4d67.0596528!16s%2Fg%2F11txdlyvbw!19sChIJwWYnhBA_sz4RU0mZ_VlAiVw?authuser=0&amp;hl=en&amp;g_ep=EgoyMDI2MDkyNy4xIJJjKgBIAVAD&amp;rclk=1", "📍 View Map")</f>
        <v/>
      </c>
    </row>
    <row r="33" ht="28" customHeight="1">
      <c r="A33" s="4" t="inlineStr">
        <is>
          <t>GF-KHI-030</t>
        </is>
      </c>
      <c r="B33" s="5" t="inlineStr">
        <is>
          <t>Smartinn Fitness</t>
        </is>
      </c>
      <c r="C33" s="4" t="inlineStr">
        <is>
          <t>PECHS</t>
        </is>
      </c>
      <c r="D33" s="6" t="inlineStr">
        <is>
          <t>+92 301 3383505</t>
        </is>
      </c>
      <c r="E33" s="8">
        <f>HYPERLINK("https://wa.me/923013383505", "💬 Open WhatsApp")</f>
        <v/>
      </c>
      <c r="F33" s="4" t="n">
        <v>5</v>
      </c>
      <c r="G33" s="6" t="inlineStr">
        <is>
          <t>Tier 2 (High-Volume Mid-Market)</t>
        </is>
      </c>
      <c r="H33" s="7" t="inlineStr">
        <is>
          <t>1. Not Contacted</t>
        </is>
      </c>
      <c r="I33" s="6" t="inlineStr"/>
      <c r="J33" s="6" t="inlineStr">
        <is>
          <t>High member turnover &amp; unpaid fee leakage (15-25% dues delay). Pitch automated WhatsApp reminders and daily cash ledger.</t>
        </is>
      </c>
      <c r="K33" s="6" t="inlineStr">
        <is>
          <t>Eliminate Unpaid Member Dues with 3-Day Automated WhatsApp Payment Reminders</t>
        </is>
      </c>
      <c r="L33" s="6" t="inlineStr">
        <is>
          <t>Starter / Pro (Rs 3,500 - 7,500/mo)</t>
        </is>
      </c>
      <c r="M33" s="6" t="inlineStr">
        <is>
          <t>150 - 350 members</t>
        </is>
      </c>
      <c r="N33" s="6" t="inlineStr">
        <is>
          <t>Plot# 4th Floor, 333-C Tariq Rd, Block 2 P.E.C.H.S., Karachi, 75400, Pakistan</t>
        </is>
      </c>
      <c r="O33" s="8">
        <f>HYPERLINK("https://www.google.com/maps/place/Smartinn+Fitness/data=!4m7!3m6!1s0x3eb33f00391b97f7:0xd8752d614e324996!8m2!3d24.8594497!4d67.0604259!16s%2Fg%2F11yvrxfq2t!19sChIJ95cbOQA_sz4RlkkyTmEtddg?authuser=0&amp;hl=en&amp;g_ep=EgoyMDI2MDkyNy4xIJJjKgBIAVAD&amp;rclk=1", "📍 View Map")</f>
        <v/>
      </c>
    </row>
    <row r="34" ht="28" customHeight="1">
      <c r="A34" s="4" t="inlineStr">
        <is>
          <t>GF-KHI-031</t>
        </is>
      </c>
      <c r="B34" s="5" t="inlineStr">
        <is>
          <t>Body Evolution</t>
        </is>
      </c>
      <c r="C34" s="4" t="inlineStr">
        <is>
          <t>Bahadurabad</t>
        </is>
      </c>
      <c r="D34" s="6" t="inlineStr">
        <is>
          <t>+92 306 6667817</t>
        </is>
      </c>
      <c r="E34" s="8">
        <f>HYPERLINK("https://wa.me/923066667817", "💬 Open WhatsApp")</f>
        <v/>
      </c>
      <c r="F34" s="4" t="n">
        <v>4.9</v>
      </c>
      <c r="G34" s="6" t="inlineStr">
        <is>
          <t>Tier 2 (High-Volume Mid-Market)</t>
        </is>
      </c>
      <c r="H34" s="7" t="inlineStr">
        <is>
          <t>1. Not Contacted</t>
        </is>
      </c>
      <c r="I34" s="6" t="inlineStr"/>
      <c r="J34" s="6" t="inlineStr">
        <is>
          <t>High member turnover &amp; unpaid fee leakage (15-25% dues delay). Pitch automated WhatsApp reminders and daily cash ledger.</t>
        </is>
      </c>
      <c r="K34" s="6" t="inlineStr">
        <is>
          <t>Eliminate Unpaid Member Dues with 3-Day Automated WhatsApp Payment Reminders</t>
        </is>
      </c>
      <c r="L34" s="6" t="inlineStr">
        <is>
          <t>Starter / Pro (Rs 3,500 - 7,500/mo)</t>
        </is>
      </c>
      <c r="M34" s="6" t="inlineStr">
        <is>
          <t>150 - 350 members</t>
        </is>
      </c>
      <c r="N34" s="6" t="inlineStr">
        <is>
          <t>Shop No.10, Al Bari Exclusive Towers, Bahadurabad Bahadur Yar Jang CHS, Karachi, 74400, Pakistan</t>
        </is>
      </c>
      <c r="O34" s="8">
        <f>HYPERLINK("https://www.google.com/maps/place/Body+Evolution/data=!4m7!3m6!1s0x3eb33f6501c515db:0x95fcaed748240122!8m2!3d24.8822997!4d67.0681689!16s%2Fg%2F11rft9gvmz!19sChIJ2xXFAWU_sz4RIgEkSNeu_JU?authuser=0&amp;hl=en&amp;g_ep=EgoyMDI2MDkyNy4xIJJjKgBIAVAD&amp;rclk=1", "📍 View Map")</f>
        <v/>
      </c>
    </row>
    <row r="35" ht="28" customHeight="1">
      <c r="A35" s="4" t="inlineStr">
        <is>
          <t>GF-KHI-032</t>
        </is>
      </c>
      <c r="B35" s="5" t="inlineStr">
        <is>
          <t>ORA Gym &amp; Padel</t>
        </is>
      </c>
      <c r="C35" s="4" t="inlineStr">
        <is>
          <t>PECHS</t>
        </is>
      </c>
      <c r="D35" s="6" t="inlineStr">
        <is>
          <t>+92 335 6720222</t>
        </is>
      </c>
      <c r="E35" s="8">
        <f>HYPERLINK("https://wa.me/923356720222", "💬 Open WhatsApp")</f>
        <v/>
      </c>
      <c r="F35" s="4" t="n">
        <v>4.1</v>
      </c>
      <c r="G35" s="6" t="inlineStr">
        <is>
          <t>Tier 2 (High-Volume Mid-Market)</t>
        </is>
      </c>
      <c r="H35" s="7" t="inlineStr">
        <is>
          <t>1. Not Contacted</t>
        </is>
      </c>
      <c r="I35" s="6" t="inlineStr"/>
      <c r="J35" s="6" t="inlineStr">
        <is>
          <t>High member turnover &amp; unpaid fee leakage (15-25% dues delay). Pitch automated WhatsApp reminders and daily cash ledger.</t>
        </is>
      </c>
      <c r="K35" s="6" t="inlineStr">
        <is>
          <t>Eliminate Unpaid Member Dues with 3-Day Automated WhatsApp Payment Reminders</t>
        </is>
      </c>
      <c r="L35" s="6" t="inlineStr">
        <is>
          <t>Starter / Pro (Rs 3,500 - 7,500/mo)</t>
        </is>
      </c>
      <c r="M35" s="6" t="inlineStr">
        <is>
          <t>150 - 350 members</t>
        </is>
      </c>
      <c r="N35" s="6" t="inlineStr">
        <is>
          <t>Plot no 174/F، 174/J, P.E.C.H.S Block 2 Block 2 P.E.C.H.S., Karachi, Pakistan</t>
        </is>
      </c>
      <c r="O35" s="8">
        <f>HYPERLINK("https://www.google.com/maps/place/ORA+Gym+%26+Padel/data=!4m7!3m6!1s0x3eb33f00012b42b3:0xed7b80409ef4c745!8m2!3d24.8661424!4d67.0573815!16s%2Fg%2F11xrvm9dnn!19sChIJs0IrAQA_sz4RRcf0nkCAe-0?authuser=0&amp;hl=en&amp;g_ep=EgoyMDI2MDkyNy4xIJJjKgBIAVAD&amp;rclk=1", "📍 View Map")</f>
        <v/>
      </c>
    </row>
    <row r="36" ht="28" customHeight="1">
      <c r="A36" s="4" t="inlineStr">
        <is>
          <t>GF-KHI-033</t>
        </is>
      </c>
      <c r="B36" s="5" t="inlineStr">
        <is>
          <t>Genetix Gym</t>
        </is>
      </c>
      <c r="C36" s="4" t="inlineStr">
        <is>
          <t>PECHS</t>
        </is>
      </c>
      <c r="D36" s="6" t="inlineStr">
        <is>
          <t>+92 313 2838148</t>
        </is>
      </c>
      <c r="E36" s="8">
        <f>HYPERLINK("https://wa.me/923132838148", "💬 Open WhatsApp")</f>
        <v/>
      </c>
      <c r="F36" s="4" t="n">
        <v>4.1</v>
      </c>
      <c r="G36" s="6" t="inlineStr">
        <is>
          <t>Tier 2 (High-Volume Mid-Market)</t>
        </is>
      </c>
      <c r="H36" s="7" t="inlineStr">
        <is>
          <t>1. Not Contacted</t>
        </is>
      </c>
      <c r="I36" s="6" t="inlineStr"/>
      <c r="J36" s="6" t="inlineStr">
        <is>
          <t>High member turnover &amp; unpaid fee leakage (15-25% dues delay). Pitch automated WhatsApp reminders and daily cash ledger.</t>
        </is>
      </c>
      <c r="K36" s="6" t="inlineStr">
        <is>
          <t>Eliminate Unpaid Member Dues with 3-Day Automated WhatsApp Payment Reminders</t>
        </is>
      </c>
      <c r="L36" s="6" t="inlineStr">
        <is>
          <t>Starter / Pro (Rs 3,500 - 7,500/mo)</t>
        </is>
      </c>
      <c r="M36" s="6" t="inlineStr">
        <is>
          <t>150 - 350 members</t>
        </is>
      </c>
      <c r="N36" s="6" t="inlineStr">
        <is>
          <t>Cafe liberty signal, Tariq Rd, Block 2 P.E.C.H.S., Karachi, 75400, Pakistan</t>
        </is>
      </c>
      <c r="O36" s="8">
        <f>HYPERLINK("https://www.google.com/maps/place/Genetix+Gym/data=!4m7!3m6!1s0x3eb33fcf33491b27:0x347567c057c2e748!8m2!3d24.8715052!4d67.0595089!16s%2Fg%2F11lh52lz4n!19sChIJJxtJM88_sz4RSOfCV8BndTQ?authuser=0&amp;hl=en&amp;g_ep=EgoyMDI2MDkyNy4xIJJjKgBIAVAD&amp;rclk=1", "📍 View Map")</f>
        <v/>
      </c>
    </row>
    <row r="37" ht="28" customHeight="1">
      <c r="A37" s="4" t="inlineStr">
        <is>
          <t>GF-KHI-034</t>
        </is>
      </c>
      <c r="B37" s="5" t="inlineStr">
        <is>
          <t>RAISE THE BAR gym &amp; fitness center</t>
        </is>
      </c>
      <c r="C37" s="4" t="inlineStr">
        <is>
          <t>PECHS</t>
        </is>
      </c>
      <c r="D37" s="6" t="inlineStr">
        <is>
          <t>+92 333 0000729</t>
        </is>
      </c>
      <c r="E37" s="8">
        <f>HYPERLINK("https://wa.me/923330000729", "💬 Open WhatsApp")</f>
        <v/>
      </c>
      <c r="F37" s="4" t="n">
        <v>4.3</v>
      </c>
      <c r="G37" s="6" t="inlineStr">
        <is>
          <t>Tier 2 (High-Volume Mid-Market)</t>
        </is>
      </c>
      <c r="H37" s="7" t="inlineStr">
        <is>
          <t>1. Not Contacted</t>
        </is>
      </c>
      <c r="I37" s="6" t="inlineStr"/>
      <c r="J37" s="6" t="inlineStr">
        <is>
          <t>High member turnover &amp; unpaid fee leakage (15-25% dues delay). Pitch automated WhatsApp reminders and daily cash ledger.</t>
        </is>
      </c>
      <c r="K37" s="6" t="inlineStr">
        <is>
          <t>Eliminate Unpaid Member Dues with 3-Day Automated WhatsApp Payment Reminders</t>
        </is>
      </c>
      <c r="L37" s="6" t="inlineStr">
        <is>
          <t>Starter / Pro (Rs 3,500 - 7,500/mo)</t>
        </is>
      </c>
      <c r="M37" s="6" t="inlineStr">
        <is>
          <t>150 - 350 members</t>
        </is>
      </c>
      <c r="N37" s="6" t="inlineStr">
        <is>
          <t>Plot No.54 J, 2 Kashmir Rd, Block 2 P.E.C.H.S., Karachi, Pakistan</t>
        </is>
      </c>
      <c r="O37" s="8">
        <f>HYPERLINK("https://www.google.com/maps/place/RAISE+THE+BAR+gym+%26+fitness+center/data=!4m7!3m6!1s0x3eb33f1a6b8555f7:0x74599ca90a24a182!8m2!3d24.8724389!4d67.0491261!16s%2Fg%2F11fjqk2dx3!19sChIJ91WFaxo_sz4RgqEkCqmcWXQ?authuser=0&amp;hl=en&amp;g_ep=EgoyMDI2MDkyNy4xIJJjKgBIAVAD&amp;rclk=1", "📍 View Map")</f>
        <v/>
      </c>
    </row>
    <row r="38" ht="28" customHeight="1">
      <c r="A38" s="4" t="inlineStr">
        <is>
          <t>GF-KHI-035</t>
        </is>
      </c>
      <c r="B38" s="5" t="inlineStr">
        <is>
          <t>FIT-X GYM</t>
        </is>
      </c>
      <c r="C38" s="4" t="inlineStr">
        <is>
          <t>PECHS</t>
        </is>
      </c>
      <c r="D38" s="6" t="inlineStr">
        <is>
          <t>+92 321 9243021</t>
        </is>
      </c>
      <c r="E38" s="8">
        <f>HYPERLINK("https://wa.me/923219243021", "💬 Open WhatsApp")</f>
        <v/>
      </c>
      <c r="F38" s="4" t="n">
        <v>5</v>
      </c>
      <c r="G38" s="6" t="inlineStr">
        <is>
          <t>Tier 2 (High-Volume Mid-Market)</t>
        </is>
      </c>
      <c r="H38" s="7" t="inlineStr">
        <is>
          <t>1. Not Contacted</t>
        </is>
      </c>
      <c r="I38" s="6" t="inlineStr"/>
      <c r="J38" s="6" t="inlineStr">
        <is>
          <t>High member turnover &amp; unpaid fee leakage (15-25% dues delay). Pitch automated WhatsApp reminders and daily cash ledger.</t>
        </is>
      </c>
      <c r="K38" s="6" t="inlineStr">
        <is>
          <t>Eliminate Unpaid Member Dues with 3-Day Automated WhatsApp Payment Reminders</t>
        </is>
      </c>
      <c r="L38" s="6" t="inlineStr">
        <is>
          <t>Starter / Pro (Rs 3,500 - 7,500/mo)</t>
        </is>
      </c>
      <c r="M38" s="6" t="inlineStr">
        <is>
          <t>150 - 350 members</t>
        </is>
      </c>
      <c r="N38" s="6" t="inlineStr">
        <is>
          <t>House no 338/B, Karachi Administration Employees Housing Society Block 4 KAECHS, Karachi, 75460, Pakistan</t>
        </is>
      </c>
      <c r="O38" s="8">
        <f>HYPERLINK("https://www.google.com/maps/place/FIT-X+GYM/data=!4m7!3m6!1s0x3eb33f053619d71f:0x291a0ec286901945!8m2!3d24.8580642!4d67.0784347!16s%2Fg%2F11z6b5p2qt!19sChIJH9cZNgU_sz4RRRmQhsIOGik?authuser=0&amp;hl=en&amp;g_ep=EgoyMDI2MDkyNy4xIJJjKgBIAVAD&amp;rclk=1", "📍 View Map")</f>
        <v/>
      </c>
    </row>
    <row r="39" ht="28" customHeight="1">
      <c r="A39" s="4" t="inlineStr">
        <is>
          <t>GF-KHI-036</t>
        </is>
      </c>
      <c r="B39" s="5" t="inlineStr">
        <is>
          <t>OBSESSION FITNESS</t>
        </is>
      </c>
      <c r="C39" s="4" t="inlineStr">
        <is>
          <t>PECHS</t>
        </is>
      </c>
      <c r="D39" s="6" t="inlineStr">
        <is>
          <t>+92 300 2369518</t>
        </is>
      </c>
      <c r="E39" s="8">
        <f>HYPERLINK("https://wa.me/923002369518", "💬 Open WhatsApp")</f>
        <v/>
      </c>
      <c r="F39" s="4" t="n">
        <v>4.9</v>
      </c>
      <c r="G39" s="6" t="inlineStr">
        <is>
          <t>Tier 2 (High-Volume Mid-Market)</t>
        </is>
      </c>
      <c r="H39" s="7" t="inlineStr">
        <is>
          <t>1. Not Contacted</t>
        </is>
      </c>
      <c r="I39" s="6" t="inlineStr"/>
      <c r="J39" s="6" t="inlineStr">
        <is>
          <t>High member turnover &amp; unpaid fee leakage (15-25% dues delay). Pitch automated WhatsApp reminders and daily cash ledger.</t>
        </is>
      </c>
      <c r="K39" s="6" t="inlineStr">
        <is>
          <t>Eliminate Unpaid Member Dues with 3-Day Automated WhatsApp Payment Reminders</t>
        </is>
      </c>
      <c r="L39" s="6" t="inlineStr">
        <is>
          <t>Starter / Pro (Rs 3,500 - 7,500/mo)</t>
        </is>
      </c>
      <c r="M39" s="6" t="inlineStr">
        <is>
          <t>150 - 350 members</t>
        </is>
      </c>
      <c r="N39" s="6" t="inlineStr">
        <is>
          <t>Plot 58 Z3, Block 6 P.E.C.H.S., Karachi, 75100, Pakistan</t>
        </is>
      </c>
      <c r="O39" s="8">
        <f>HYPERLINK("https://www.google.com/maps/place/OBSESSION+FITNESS/data=!4m7!3m6!1s0x3eb33d000511143b:0xb66f37717acd2e30!8m2!3d24.853361!4d67.0669543!16s%2Fg%2F11mctxnfll!19sChIJOxQRBQA9sz4RMC7NenE3b7Y?authuser=0&amp;hl=en&amp;g_ep=EgoyMDI2MDkyNy4xIJJjKgBIAVAD&amp;rclk=1", "📍 View Map")</f>
        <v/>
      </c>
    </row>
    <row r="40" ht="28" customHeight="1">
      <c r="A40" s="4" t="inlineStr">
        <is>
          <t>GF-KHI-037</t>
        </is>
      </c>
      <c r="B40" s="5" t="inlineStr">
        <is>
          <t>Next level Fitness shabbirabad</t>
        </is>
      </c>
      <c r="C40" s="4" t="inlineStr">
        <is>
          <t>PECHS</t>
        </is>
      </c>
      <c r="D40" s="6" t="inlineStr">
        <is>
          <t>+92 323 1635403</t>
        </is>
      </c>
      <c r="E40" s="8">
        <f>HYPERLINK("https://wa.me/923231635403", "💬 Open WhatsApp")</f>
        <v/>
      </c>
      <c r="F40" s="4" t="n">
        <v>3.3</v>
      </c>
      <c r="G40" s="6" t="inlineStr">
        <is>
          <t>Tier 2 (High-Volume Mid-Market)</t>
        </is>
      </c>
      <c r="H40" s="7" t="inlineStr">
        <is>
          <t>1. Not Contacted</t>
        </is>
      </c>
      <c r="I40" s="6" t="inlineStr"/>
      <c r="J40" s="6" t="inlineStr">
        <is>
          <t>High member turnover &amp; unpaid fee leakage (15-25% dues delay). Pitch automated WhatsApp reminders and daily cash ledger.</t>
        </is>
      </c>
      <c r="K40" s="6" t="inlineStr">
        <is>
          <t>Eliminate Unpaid Member Dues with 3-Day Automated WhatsApp Payment Reminders</t>
        </is>
      </c>
      <c r="L40" s="6" t="inlineStr">
        <is>
          <t>Starter / Pro (Rs 3,500 - 7,500/mo)</t>
        </is>
      </c>
      <c r="M40" s="6" t="inlineStr">
        <is>
          <t>150 - 350 members</t>
        </is>
      </c>
      <c r="N40" s="6" t="inlineStr">
        <is>
          <t>206, off, Tipu Sultan Rd, Block B Shabbirabad, Karachi, Pakistan</t>
        </is>
      </c>
      <c r="O40" s="8">
        <f>HYPERLINK("https://www.google.com/maps/place/Next+level+Fitness+shabbirabad/data=!4m7!3m6!1s0x3eb33f1cca3d0dbb:0x977b3cbefe31ce27!8m2!3d24.8776938!4d67.0813223!16s%2Fg%2F11j0jb5klp!19sChIJuw09yhw_sz4RJ84x_r48e5c?authuser=0&amp;hl=en&amp;g_ep=EgoyMDI2MDkyNy4xIJJjKgBIAVAD&amp;rclk=1", "📍 View Map")</f>
        <v/>
      </c>
    </row>
    <row r="41" ht="28" customHeight="1">
      <c r="A41" s="4" t="inlineStr">
        <is>
          <t>GF-KHI-038</t>
        </is>
      </c>
      <c r="B41" s="5" t="inlineStr">
        <is>
          <t>Next Level Fitness Bootcamp</t>
        </is>
      </c>
      <c r="C41" s="4" t="inlineStr">
        <is>
          <t>PECHS</t>
        </is>
      </c>
      <c r="D41" s="6" t="inlineStr">
        <is>
          <t>+92 333 3662549</t>
        </is>
      </c>
      <c r="E41" s="8">
        <f>HYPERLINK("https://wa.me/923333662549", "💬 Open WhatsApp")</f>
        <v/>
      </c>
      <c r="F41" s="4" t="n">
        <v>4.8</v>
      </c>
      <c r="G41" s="6" t="inlineStr">
        <is>
          <t>Tier 2 (High-Volume Mid-Market)</t>
        </is>
      </c>
      <c r="H41" s="7" t="inlineStr">
        <is>
          <t>1. Not Contacted</t>
        </is>
      </c>
      <c r="I41" s="6" t="inlineStr"/>
      <c r="J41" s="6" t="inlineStr">
        <is>
          <t>High member turnover &amp; unpaid fee leakage (15-25% dues delay). Pitch automated WhatsApp reminders and daily cash ledger.</t>
        </is>
      </c>
      <c r="K41" s="6" t="inlineStr">
        <is>
          <t>Eliminate Unpaid Member Dues with 3-Day Automated WhatsApp Payment Reminders</t>
        </is>
      </c>
      <c r="L41" s="6" t="inlineStr">
        <is>
          <t>Starter / Pro (Rs 3,500 - 7,500/mo)</t>
        </is>
      </c>
      <c r="M41" s="6" t="inlineStr">
        <is>
          <t>150 - 350 members</t>
        </is>
      </c>
      <c r="N41" s="6" t="inlineStr">
        <is>
          <t>Shaheed-e-Millat Rd, Darul Aman Society P.E.C.H.S., Karachi, 75350, Pakistan</t>
        </is>
      </c>
      <c r="O41" s="8">
        <f>HYPERLINK("https://www.google.com/maps/place/Next+Level+Fitness+Bootcamp/data=!4m7!3m6!1s0x3eb33e969e0694c9:0x15bb0a71a45e9744!8m2!3d24.8734276!4d67.0668025!16s%2Fg%2F11hb6xrdgl!19sChIJyZQGnpY-sz4RRJdepHEKuxU?authuser=0&amp;hl=en&amp;g_ep=EgoyMDI2MDkyNy4xIJJjKgBIAVAD&amp;rclk=1", "📍 View Map")</f>
        <v/>
      </c>
    </row>
    <row r="42" ht="28" customHeight="1">
      <c r="A42" s="4" t="inlineStr">
        <is>
          <t>GF-KHI-039</t>
        </is>
      </c>
      <c r="B42" s="5" t="inlineStr">
        <is>
          <t>Burnout Fitness</t>
        </is>
      </c>
      <c r="C42" s="4" t="inlineStr">
        <is>
          <t>PECHS</t>
        </is>
      </c>
      <c r="D42" s="6" t="inlineStr">
        <is>
          <t>+92 340 3168661</t>
        </is>
      </c>
      <c r="E42" s="8">
        <f>HYPERLINK("https://wa.me/923403168661", "💬 Open WhatsApp")</f>
        <v/>
      </c>
      <c r="F42" s="4" t="n">
        <v>5</v>
      </c>
      <c r="G42" s="6" t="inlineStr">
        <is>
          <t>Tier 2 (High-Volume Mid-Market)</t>
        </is>
      </c>
      <c r="H42" s="7" t="inlineStr">
        <is>
          <t>1. Not Contacted</t>
        </is>
      </c>
      <c r="I42" s="6" t="inlineStr"/>
      <c r="J42" s="6" t="inlineStr">
        <is>
          <t>High member turnover &amp; unpaid fee leakage (15-25% dues delay). Pitch automated WhatsApp reminders and daily cash ledger.</t>
        </is>
      </c>
      <c r="K42" s="6" t="inlineStr">
        <is>
          <t>Eliminate Unpaid Member Dues with 3-Day Automated WhatsApp Payment Reminders</t>
        </is>
      </c>
      <c r="L42" s="6" t="inlineStr">
        <is>
          <t>Starter / Pro (Rs 3,500 - 7,500/mo)</t>
        </is>
      </c>
      <c r="M42" s="6" t="inlineStr">
        <is>
          <t>150 - 350 members</t>
        </is>
      </c>
      <c r="N42" s="6" t="inlineStr">
        <is>
          <t>Burnout fitness Rooftop, Pizza Max Building, 744 Tariq Rd, P.E.C.H.S Block 2 Block 2 P.E.C.H.S., Karachi, Pakistan</t>
        </is>
      </c>
      <c r="O42" s="8">
        <f>HYPERLINK("https://www.google.com/maps/place/Burnout+Fitness/data=!4m7!3m6!1s0x3eb33f3a6a83999b:0x3363294de05db32d!8m2!3d24.871338!4d67.0598783!16s%2Fg%2F11m_9p1q1y!19sChIJm5mDajo_sz4RLbNd4E0pYzM?authuser=0&amp;hl=en&amp;g_ep=EgoyMDI2MDkyNy4xIJJjKgBIAVAD&amp;rclk=1", "📍 View Map")</f>
        <v/>
      </c>
    </row>
    <row r="43" ht="28" customHeight="1">
      <c r="A43" s="4" t="inlineStr">
        <is>
          <t>GF-KHI-040</t>
        </is>
      </c>
      <c r="B43" s="5" t="inlineStr">
        <is>
          <t>FitCore Gym North Nazimabad</t>
        </is>
      </c>
      <c r="C43" s="4" t="inlineStr">
        <is>
          <t>North Nazimabad</t>
        </is>
      </c>
      <c r="D43" s="6" t="inlineStr">
        <is>
          <t>+92 336 0895961</t>
        </is>
      </c>
      <c r="E43" s="8">
        <f>HYPERLINK("https://wa.me/923360895961", "💬 Open WhatsApp")</f>
        <v/>
      </c>
      <c r="F43" s="4" t="n">
        <v>4.9</v>
      </c>
      <c r="G43" s="6" t="inlineStr">
        <is>
          <t>Tier 1 (Premium / Boutique)</t>
        </is>
      </c>
      <c r="H43" s="7" t="inlineStr">
        <is>
          <t>1. Not Contacted</t>
        </is>
      </c>
      <c r="I43" s="6" t="inlineStr"/>
      <c r="J43" s="6" t="inlineStr">
        <is>
          <t>High fee structure (Rs 8k - 25k/mo). Owners care about brand prestige, zero counter friction, and automated payment receipts.</t>
        </is>
      </c>
      <c r="K43" s="6" t="inlineStr">
        <is>
          <t>Automated WhatsApp Fee Receipts + Raast QR Instant Verification + Member Retention Dashboard</t>
        </is>
      </c>
      <c r="L43" s="6" t="inlineStr">
        <is>
          <t>Pro / Enterprise (Rs 7,500 - 15,000/mo)</t>
        </is>
      </c>
      <c r="M43" s="6" t="inlineStr">
        <is>
          <t>250 - 600 members</t>
        </is>
      </c>
      <c r="N43" s="6" t="inlineStr">
        <is>
          <t>First floor, Plot D9, Block A North Nazimabad Town, Karachi, 75400, Pakistan</t>
        </is>
      </c>
      <c r="O43" s="8">
        <f>HYPERLINK("https://www.google.com/maps/place/FitCore+Gym+North+Nazimabad/data=!4m7!3m6!1s0x3eb33f4f931b0ac5:0x9f1f1e794ef6808d!8m2!3d24.9292437!4d67.0349467!16s%2Fg%2F11z8jksd_5!19sChIJxQobk08_sz4RjYD2TnkeH58?authuser=0&amp;hl=en&amp;g_ep=EgoyMDI2MDkyNy4xIJJjKgBIAVAD&amp;rclk=1", "📍 View Map")</f>
        <v/>
      </c>
    </row>
    <row r="44" ht="28" customHeight="1">
      <c r="A44" s="4" t="inlineStr">
        <is>
          <t>GF-KHI-041</t>
        </is>
      </c>
      <c r="B44" s="5" t="inlineStr">
        <is>
          <t>Power Fitness Zone Gym &amp; Fitness Studio</t>
        </is>
      </c>
      <c r="C44" s="4" t="inlineStr">
        <is>
          <t>North Nazimabad</t>
        </is>
      </c>
      <c r="D44" s="6" t="inlineStr">
        <is>
          <t>+92 317 2569051</t>
        </is>
      </c>
      <c r="E44" s="8">
        <f>HYPERLINK("https://wa.me/923172569051", "💬 Open WhatsApp")</f>
        <v/>
      </c>
      <c r="F44" s="4" t="n">
        <v>4.8</v>
      </c>
      <c r="G44" s="6" t="inlineStr">
        <is>
          <t>Tier 1 (Premium / Boutique)</t>
        </is>
      </c>
      <c r="H44" s="7" t="inlineStr">
        <is>
          <t>1. Not Contacted</t>
        </is>
      </c>
      <c r="I44" s="6" t="inlineStr"/>
      <c r="J44" s="6" t="inlineStr">
        <is>
          <t>High fee structure (Rs 8k - 25k/mo). Owners care about brand prestige, zero counter friction, and automated payment receipts.</t>
        </is>
      </c>
      <c r="K44" s="6" t="inlineStr">
        <is>
          <t>Automated WhatsApp Fee Receipts + Raast QR Instant Verification + Member Retention Dashboard</t>
        </is>
      </c>
      <c r="L44" s="6" t="inlineStr">
        <is>
          <t>Pro / Enterprise (Rs 7,500 - 15,000/mo)</t>
        </is>
      </c>
      <c r="M44" s="6" t="inlineStr">
        <is>
          <t>250 - 600 members</t>
        </is>
      </c>
      <c r="N44" s="6" t="inlineStr">
        <is>
          <t>W2WV+688, Block D North Nazimabad Town, Karachi, Pakistan</t>
        </is>
      </c>
      <c r="O44" s="8">
        <f>HYPERLINK("https://www.google.com/maps/place/Power+Fitness+Zone+Gym+%26+Fitness+Studio/data=!4m7!3m6!1s0x3eb341004272fdab:0x42b14f4e9c68443d!8m2!3d24.9455369!4d67.0433237!16s%2Fg%2F11ytp8mz12!19sChIJq_1yQgBBsz4RPURonE5PsUI?authuser=0&amp;hl=en&amp;g_ep=EgoyMDI2MDkyNy4xIJJjKgBIAVAD&amp;rclk=1", "📍 View Map")</f>
        <v/>
      </c>
    </row>
    <row r="45" ht="28" customHeight="1">
      <c r="A45" s="4" t="inlineStr">
        <is>
          <t>GF-KHI-042</t>
        </is>
      </c>
      <c r="B45" s="5" t="inlineStr">
        <is>
          <t>Edge Physique Fitness &amp; Health Care Center</t>
        </is>
      </c>
      <c r="C45" s="4" t="inlineStr">
        <is>
          <t>North Nazimabad</t>
        </is>
      </c>
      <c r="D45" s="6" t="inlineStr">
        <is>
          <t>+92 370 0367556</t>
        </is>
      </c>
      <c r="E45" s="8">
        <f>HYPERLINK("https://wa.me/923700367556", "💬 Open WhatsApp")</f>
        <v/>
      </c>
      <c r="F45" s="4" t="n">
        <v>4.5</v>
      </c>
      <c r="G45" s="6" t="inlineStr">
        <is>
          <t>Tier 2 (High-Volume Mid-Market)</t>
        </is>
      </c>
      <c r="H45" s="7" t="inlineStr">
        <is>
          <t>1. Not Contacted</t>
        </is>
      </c>
      <c r="I45" s="6" t="inlineStr"/>
      <c r="J45" s="6" t="inlineStr">
        <is>
          <t>High member turnover &amp; unpaid fee leakage (15-25% dues delay). Pitch automated WhatsApp reminders and daily cash ledger.</t>
        </is>
      </c>
      <c r="K45" s="6" t="inlineStr">
        <is>
          <t>Eliminate Unpaid Member Dues with 3-Day Automated WhatsApp Payment Reminders</t>
        </is>
      </c>
      <c r="L45" s="6" t="inlineStr">
        <is>
          <t>Starter / Pro (Rs 3,500 - 7,500/mo)</t>
        </is>
      </c>
      <c r="M45" s="6" t="inlineStr">
        <is>
          <t>150 - 350 members</t>
        </is>
      </c>
      <c r="N45" s="6" t="inlineStr">
        <is>
          <t>Plot no 14b, Saima Paari Mall, Block H North Nazimabad Town, Karachi, 74600, Pakistan</t>
        </is>
      </c>
      <c r="O45" s="8">
        <f>HYPERLINK("https://www.google.com/maps/place/Edge+Physique+Fitness+%26+Health+Care+Center/data=!4m7!3m6!1s0x3eb33f6267f3997f:0xf6dff7ac49855d92!8m2!3d24.9384432!4d67.044467!16s%2Fg%2F11b620f2qj!19sChIJf5nzZ2I_sz4Rkl2FSaz33_Y?authuser=0&amp;hl=en&amp;g_ep=EgoyMDI2MDkyNy4xIJJjKgBIAVAD&amp;rclk=1", "📍 View Map")</f>
        <v/>
      </c>
    </row>
    <row r="46" ht="28" customHeight="1">
      <c r="A46" s="4" t="inlineStr">
        <is>
          <t>GF-KHI-043</t>
        </is>
      </c>
      <c r="B46" s="5" t="inlineStr">
        <is>
          <t>(TFR) The Fitness Revolution</t>
        </is>
      </c>
      <c r="C46" s="4" t="inlineStr">
        <is>
          <t>Nazimabad</t>
        </is>
      </c>
      <c r="D46" s="6" t="inlineStr">
        <is>
          <t>+92 346 2223903</t>
        </is>
      </c>
      <c r="E46" s="8">
        <f>HYPERLINK("https://wa.me/923462223903", "💬 Open WhatsApp")</f>
        <v/>
      </c>
      <c r="F46" s="4" t="n">
        <v>4.6</v>
      </c>
      <c r="G46" s="6" t="inlineStr">
        <is>
          <t>Tier 3 (Local Community Gym)</t>
        </is>
      </c>
      <c r="H46" s="7" t="inlineStr">
        <is>
          <t>1. Not Contacted</t>
        </is>
      </c>
      <c r="I46" s="6" t="inlineStr"/>
      <c r="J46" s="6" t="inlineStr">
        <is>
          <t>Still using notebook/Excel register. Low tech barrier needed. Emphasize mobile-friendly Urdu/English interface and Rs 100/day cost.</t>
        </is>
      </c>
      <c r="K46" s="6" t="inlineStr">
        <is>
          <t>Replace Paper Register with 1-Click Mobile Member Entry &amp; Due Date SMS/WhatsApp</t>
        </is>
      </c>
      <c r="L46" s="6" t="inlineStr">
        <is>
          <t>Starter (Rs 2,500 - 3,500/mo)</t>
        </is>
      </c>
      <c r="M46" s="6" t="inlineStr">
        <is>
          <t>80 - 180 members</t>
        </is>
      </c>
      <c r="N46" s="6" t="inlineStr">
        <is>
          <t>Block- C , Plot #07 , Main Hadi Market, Basement of Meezan Bank Nazimabad 4, Block 4 Nazimabad, Karachi, 74600, Pakistan</t>
        </is>
      </c>
      <c r="O46" s="8">
        <f>HYPERLINK("https://www.google.com/maps/place/%28TFR%29+The+Fitness+Revolution/data=!4m7!3m6!1s0x3eb33fdd479da3bf:0x2a00e9bd3961a125!8m2!3d24.9160963!4d67.0350298!16s%2Fg%2F11tc7s2dgg!19sChIJv6OdR90_sz4RJaFhOb3pACo?authuser=0&amp;hl=en&amp;g_ep=EgoyMDI2MDkyNy4xIJJjKgBIAVAD&amp;rclk=1", "📍 View Map")</f>
        <v/>
      </c>
    </row>
    <row r="47" ht="28" customHeight="1">
      <c r="A47" s="4" t="inlineStr">
        <is>
          <t>GF-KHI-044</t>
        </is>
      </c>
      <c r="B47" s="5" t="inlineStr">
        <is>
          <t>Murtaza Health Gym Hyderi</t>
        </is>
      </c>
      <c r="C47" s="4" t="inlineStr">
        <is>
          <t>North Nazimabad</t>
        </is>
      </c>
      <c r="D47" s="6" t="inlineStr">
        <is>
          <t>+92 347 8352423</t>
        </is>
      </c>
      <c r="E47" s="8">
        <f>HYPERLINK("https://wa.me/923478352423", "💬 Open WhatsApp")</f>
        <v/>
      </c>
      <c r="F47" s="4" t="n">
        <v>4.5</v>
      </c>
      <c r="G47" s="6" t="inlineStr">
        <is>
          <t>Tier 2 (High-Volume Mid-Market)</t>
        </is>
      </c>
      <c r="H47" s="7" t="inlineStr">
        <is>
          <t>1. Not Contacted</t>
        </is>
      </c>
      <c r="I47" s="6" t="inlineStr"/>
      <c r="J47" s="6" t="inlineStr">
        <is>
          <t>High member turnover &amp; unpaid fee leakage (15-25% dues delay). Pitch automated WhatsApp reminders and daily cash ledger.</t>
        </is>
      </c>
      <c r="K47" s="6" t="inlineStr">
        <is>
          <t>Eliminate Unpaid Member Dues with 3-Day Automated WhatsApp Payment Reminders</t>
        </is>
      </c>
      <c r="L47" s="6" t="inlineStr">
        <is>
          <t>Starter / Pro (Rs 3,500 - 7,500/mo)</t>
        </is>
      </c>
      <c r="M47" s="6" t="inlineStr">
        <is>
          <t>150 - 350 members</t>
        </is>
      </c>
      <c r="N47" s="6" t="inlineStr">
        <is>
          <t>B-69 Sir Syed Ahmed Rd, Block H North Nazimabad Town, Karachi, Pakistan</t>
        </is>
      </c>
      <c r="O47" s="8">
        <f>HYPERLINK("https://www.google.com/maps/place/Murtaza+Health+Gym+Hyderi/data=!4m7!3m6!1s0x3eb33f813f8eab59:0x678a75a4acbbeafd!8m2!3d24.9370865!4d67.0418624!16s%2Fg%2F1tfn16c5!19sChIJWauOP4E_sz4R_eq7rKR1imc?authuser=0&amp;hl=en&amp;g_ep=EgoyMDI2MDkyNy4xIJJjKgBIAVAD&amp;rclk=1", "📍 View Map")</f>
        <v/>
      </c>
    </row>
    <row r="48" ht="28" customHeight="1">
      <c r="A48" s="4" t="inlineStr">
        <is>
          <t>GF-KHI-045</t>
        </is>
      </c>
      <c r="B48" s="5" t="inlineStr">
        <is>
          <t>Iron Culture Fitness</t>
        </is>
      </c>
      <c r="C48" s="4" t="inlineStr">
        <is>
          <t>Gulistan-e-Johar</t>
        </is>
      </c>
      <c r="D48" s="6" t="inlineStr">
        <is>
          <t>+92 334 3288995</t>
        </is>
      </c>
      <c r="E48" s="8">
        <f>HYPERLINK("https://wa.me/923343288995", "💬 Open WhatsApp")</f>
        <v/>
      </c>
      <c r="F48" s="4" t="n">
        <v>4.8</v>
      </c>
      <c r="G48" s="6" t="inlineStr">
        <is>
          <t>Tier 3 (Local Community Gym)</t>
        </is>
      </c>
      <c r="H48" s="7" t="inlineStr">
        <is>
          <t>1. Not Contacted</t>
        </is>
      </c>
      <c r="I48" s="6" t="inlineStr"/>
      <c r="J48" s="6" t="inlineStr">
        <is>
          <t>Still using notebook/Excel register. Low tech barrier needed. Emphasize mobile-friendly Urdu/English interface and Rs 100/day cost.</t>
        </is>
      </c>
      <c r="K48" s="6" t="inlineStr">
        <is>
          <t>Replace Paper Register with 1-Click Mobile Member Entry &amp; Due Date SMS/WhatsApp</t>
        </is>
      </c>
      <c r="L48" s="6" t="inlineStr">
        <is>
          <t>Starter (Rs 2,500 - 3,500/mo)</t>
        </is>
      </c>
      <c r="M48" s="6" t="inlineStr">
        <is>
          <t>80 - 180 members</t>
        </is>
      </c>
      <c r="N48" s="6" t="inlineStr">
        <is>
          <t>House #B10 Basement, Block 16 Gulistan-e-Johar, Karachi, Pakistan</t>
        </is>
      </c>
      <c r="O48" s="8">
        <f>HYPERLINK("https://www.google.com/maps/place/Iron+Culture+Fitness/data=!4m7!3m6!1s0x3eb3398d8063083d:0x6f97f846a591aee6!8m2!3d24.9181243!4d67.1181733!16s%2Fg%2F11s1pptm0w!19sChIJPQhjgI05sz4R5q6RpUb4l28?authuser=0&amp;hl=en&amp;g_ep=EgoyMDI2MDkyNy4xIJJjKgBIAVAD&amp;rclk=1", "📍 View Map")</f>
        <v/>
      </c>
    </row>
    <row r="49" ht="28" customHeight="1">
      <c r="A49" s="4" t="inlineStr">
        <is>
          <t>GF-KHI-046</t>
        </is>
      </c>
      <c r="B49" s="5" t="inlineStr">
        <is>
          <t>Body Complex باڈی کمپلیکس</t>
        </is>
      </c>
      <c r="C49" s="4" t="inlineStr">
        <is>
          <t>Gulistan-e-Johar</t>
        </is>
      </c>
      <c r="D49" s="6" t="inlineStr">
        <is>
          <t>+92 321 2365914</t>
        </is>
      </c>
      <c r="E49" s="8">
        <f>HYPERLINK("https://wa.me/923212365914", "💬 Open WhatsApp")</f>
        <v/>
      </c>
      <c r="F49" s="4" t="n">
        <v>4.2</v>
      </c>
      <c r="G49" s="6" t="inlineStr">
        <is>
          <t>Tier 3 (Local Community Gym)</t>
        </is>
      </c>
      <c r="H49" s="7" t="inlineStr">
        <is>
          <t>1. Not Contacted</t>
        </is>
      </c>
      <c r="I49" s="6" t="inlineStr"/>
      <c r="J49" s="6" t="inlineStr">
        <is>
          <t>Still using notebook/Excel register. Low tech barrier needed. Emphasize mobile-friendly Urdu/English interface and Rs 100/day cost.</t>
        </is>
      </c>
      <c r="K49" s="6" t="inlineStr">
        <is>
          <t>Replace Paper Register with 1-Click Mobile Member Entry &amp; Due Date SMS/WhatsApp</t>
        </is>
      </c>
      <c r="L49" s="6" t="inlineStr">
        <is>
          <t>Starter (Rs 2,500 - 3,500/mo)</t>
        </is>
      </c>
      <c r="M49" s="6" t="inlineStr">
        <is>
          <t>80 - 180 members</t>
        </is>
      </c>
      <c r="N49" s="6" t="inlineStr">
        <is>
          <t>W4CF+5MQ, Block 15 Gulistan-e-Johar, Karachi, Pakistan</t>
        </is>
      </c>
      <c r="O49" s="8">
        <f>HYPERLINK("https://www.google.com/maps/place/Body+Complex+%D8%A8%D8%A7%DA%88%DB%8C+%DA%A9%D9%85%D9%BE%D9%84%DB%8C%DA%A9%D8%B3%E2%80%AD/data=!4m7!3m6!1s0x3eb338e5fc64aeef:0x2e6e930562de7b64!8m2!3d24.9204518!4d67.1242329!16s%2Fg%2F11ckkxjl1t!19sChIJ765k_OU4sz4RZHveYgWTbi4?authuser=0&amp;hl=en&amp;g_ep=EgoyMDI2MDkyNy4xIJJjKgBIAVAD&amp;rclk=1", "📍 View Map")</f>
        <v/>
      </c>
    </row>
    <row r="50" ht="28" customHeight="1">
      <c r="A50" s="4" t="inlineStr">
        <is>
          <t>GF-KHI-047</t>
        </is>
      </c>
      <c r="B50" s="5" t="inlineStr">
        <is>
          <t>Female Fitness &amp; Beauty Studio</t>
        </is>
      </c>
      <c r="C50" s="4" t="inlineStr">
        <is>
          <t>Gulistan-e-Johar</t>
        </is>
      </c>
      <c r="D50" s="6" t="inlineStr">
        <is>
          <t>+92 331 2594234</t>
        </is>
      </c>
      <c r="E50" s="8">
        <f>HYPERLINK("https://wa.me/923312594234", "💬 Open WhatsApp")</f>
        <v/>
      </c>
      <c r="F50" s="4" t="n">
        <v>4.8</v>
      </c>
      <c r="G50" s="6" t="inlineStr">
        <is>
          <t>Tier 1 (Premium / Boutique)</t>
        </is>
      </c>
      <c r="H50" s="7" t="inlineStr">
        <is>
          <t>1. Not Contacted</t>
        </is>
      </c>
      <c r="I50" s="6" t="inlineStr"/>
      <c r="J50" s="6" t="inlineStr">
        <is>
          <t>High fee structure (Rs 8k - 25k/mo). Owners care about brand prestige, zero counter friction, and automated payment receipts.</t>
        </is>
      </c>
      <c r="K50" s="6" t="inlineStr">
        <is>
          <t>Automated WhatsApp Fee Receipts + Raast QR Instant Verification + Member Retention Dashboard</t>
        </is>
      </c>
      <c r="L50" s="6" t="inlineStr">
        <is>
          <t>Pro / Enterprise (Rs 7,500 - 15,000/mo)</t>
        </is>
      </c>
      <c r="M50" s="6" t="inlineStr">
        <is>
          <t>250 - 600 members</t>
        </is>
      </c>
      <c r="N50" s="6" t="inlineStr">
        <is>
          <t>Shop no 33, Kings Residency, Block 13 Gulistan-e-Johar, Karachi, Pakistan</t>
        </is>
      </c>
      <c r="O50" s="8">
        <f>HYPERLINK("https://www.google.com/maps/place/Female+Fitness+%26+Beauty+Studio/data=!4m7!3m6!1s0x3eb339d7d7d00977:0x61420fdc9f6754aa!8m2!3d24.9081471!4d67.1228546!16s%2Fg%2F11h3b31nz9!19sChIJdwnQ19c5sz4RqlRnn9wPQmE?authuser=0&amp;hl=en&amp;g_ep=EgoyMDI2MDkyNy4xIJJjKgBIAVAD&amp;rclk=1", "📍 View Map")</f>
        <v/>
      </c>
    </row>
    <row r="51" ht="28" customHeight="1">
      <c r="A51" s="4" t="inlineStr">
        <is>
          <t>GF-KHI-048</t>
        </is>
      </c>
      <c r="B51" s="5" t="inlineStr">
        <is>
          <t>Joules Club</t>
        </is>
      </c>
      <c r="C51" s="4" t="inlineStr">
        <is>
          <t>Gulistan-e-Johar</t>
        </is>
      </c>
      <c r="D51" s="6" t="inlineStr">
        <is>
          <t>+92 335 0210612</t>
        </is>
      </c>
      <c r="E51" s="8">
        <f>HYPERLINK("https://wa.me/923350210612", "💬 Open WhatsApp")</f>
        <v/>
      </c>
      <c r="F51" s="4" t="n">
        <v>4.4</v>
      </c>
      <c r="G51" s="6" t="inlineStr">
        <is>
          <t>Tier 1 (Premium / Boutique)</t>
        </is>
      </c>
      <c r="H51" s="7" t="inlineStr">
        <is>
          <t>1. Not Contacted</t>
        </is>
      </c>
      <c r="I51" s="6" t="inlineStr"/>
      <c r="J51" s="6" t="inlineStr">
        <is>
          <t>High fee structure (Rs 8k - 25k/mo). Owners care about brand prestige, zero counter friction, and automated payment receipts.</t>
        </is>
      </c>
      <c r="K51" s="6" t="inlineStr">
        <is>
          <t>Automated WhatsApp Fee Receipts + Raast QR Instant Verification + Member Retention Dashboard</t>
        </is>
      </c>
      <c r="L51" s="6" t="inlineStr">
        <is>
          <t>Pro / Enterprise (Rs 7,500 - 15,000/mo)</t>
        </is>
      </c>
      <c r="M51" s="6" t="inlineStr">
        <is>
          <t>250 - 600 members</t>
        </is>
      </c>
      <c r="N51" s="6" t="inlineStr">
        <is>
          <t>Unique Classic, St 18, Block 15 Gulistan-e-Johar, Karachi, 74600, Pakistan</t>
        </is>
      </c>
      <c r="O51" s="8">
        <f>HYPERLINK("https://www.google.com/maps/place/Joules+Club/data=!4m7!3m6!1s0x3eb339503f0246bf:0xe9823ac4f979c8!8m2!3d24.9245592!4d67.1153911!16s%2Fg%2F11jwfmjhlh!19sChIJv0YCP1A5sz4RyHn5xDqC6QA?authuser=0&amp;hl=en&amp;g_ep=EgoyMDI2MDkyNy4xIJJjKgBIAVAD&amp;rclk=1", "📍 View Map")</f>
        <v/>
      </c>
    </row>
    <row r="52" ht="28" customHeight="1">
      <c r="A52" s="4" t="inlineStr">
        <is>
          <t>GF-KHI-049</t>
        </is>
      </c>
      <c r="B52" s="5" t="inlineStr">
        <is>
          <t>Fitness Arena</t>
        </is>
      </c>
      <c r="C52" s="4" t="inlineStr">
        <is>
          <t>Gulistan-e-Johar</t>
        </is>
      </c>
      <c r="D52" s="6" t="inlineStr">
        <is>
          <t>+92 304 3329410</t>
        </is>
      </c>
      <c r="E52" s="8">
        <f>HYPERLINK("https://wa.me/923043329410", "💬 Open WhatsApp")</f>
        <v/>
      </c>
      <c r="F52" s="4" t="n">
        <v>4.8</v>
      </c>
      <c r="G52" s="6" t="inlineStr">
        <is>
          <t>Tier 3 (Local Community Gym)</t>
        </is>
      </c>
      <c r="H52" s="7" t="inlineStr">
        <is>
          <t>1. Not Contacted</t>
        </is>
      </c>
      <c r="I52" s="6" t="inlineStr"/>
      <c r="J52" s="6" t="inlineStr">
        <is>
          <t>Still using notebook/Excel register. Low tech barrier needed. Emphasize mobile-friendly Urdu/English interface and Rs 100/day cost.</t>
        </is>
      </c>
      <c r="K52" s="6" t="inlineStr">
        <is>
          <t>Replace Paper Register with 1-Click Mobile Member Entry &amp; Due Date SMS/WhatsApp</t>
        </is>
      </c>
      <c r="L52" s="6" t="inlineStr">
        <is>
          <t>Starter (Rs 2,500 - 3,500/mo)</t>
        </is>
      </c>
      <c r="M52" s="6" t="inlineStr">
        <is>
          <t>80 - 180 members</t>
        </is>
      </c>
      <c r="N52" s="6" t="inlineStr">
        <is>
          <t>C2, ag tower, Block 14, Gulistan-e-Johar, Karachi, 75290, Pakistan</t>
        </is>
      </c>
      <c r="O52" s="8">
        <f>HYPERLINK("https://www.google.com/maps/place/Fitness+Arena/data=!4m7!3m6!1s0x3eb3390068254f9d:0xc6063eda52c089e!8m2!3d24.9105503!4d67.1225099!16s%2Fg%2F11ltjct9pt!19sChIJnU8laAA5sz4Rnggspe1jYAw?authuser=0&amp;hl=en&amp;g_ep=EgoyMDI2MDkyNy4xIJJjKgBIAVAD&amp;rclk=1", "📍 View Map")</f>
        <v/>
      </c>
    </row>
    <row r="53" ht="28" customHeight="1">
      <c r="A53" s="4" t="inlineStr">
        <is>
          <t>GF-KHI-050</t>
        </is>
      </c>
      <c r="B53" s="5" t="inlineStr">
        <is>
          <t>Ahmed Gym</t>
        </is>
      </c>
      <c r="C53" s="4" t="inlineStr">
        <is>
          <t>Gulistan-e-Johar</t>
        </is>
      </c>
      <c r="D53" s="6" t="inlineStr">
        <is>
          <t>+92 21 34632481</t>
        </is>
      </c>
      <c r="E53" s="6" t="inlineStr">
        <is>
          <t>Landline / Call</t>
        </is>
      </c>
      <c r="F53" s="4" t="n">
        <v>4.3</v>
      </c>
      <c r="G53" s="6" t="inlineStr">
        <is>
          <t>Tier 3 (Local Community Gym)</t>
        </is>
      </c>
      <c r="H53" s="7" t="inlineStr">
        <is>
          <t>1. Not Contacted</t>
        </is>
      </c>
      <c r="I53" s="6" t="inlineStr"/>
      <c r="J53" s="6" t="inlineStr">
        <is>
          <t>Still using notebook/Excel register. Low tech barrier needed. Emphasize mobile-friendly Urdu/English interface and Rs 100/day cost.</t>
        </is>
      </c>
      <c r="K53" s="6" t="inlineStr">
        <is>
          <t>Replace Paper Register with 1-Click Mobile Member Entry &amp; Due Date SMS/WhatsApp</t>
        </is>
      </c>
      <c r="L53" s="6" t="inlineStr">
        <is>
          <t>Starter (Rs 2,500 - 3,500/mo)</t>
        </is>
      </c>
      <c r="M53" s="6" t="inlineStr">
        <is>
          <t>80 - 180 members</t>
        </is>
      </c>
      <c r="N53" s="6" t="inlineStr">
        <is>
          <t>B-134, Block 1 Gulistan-e-johar, Block 1 Gulistan-e-Johar, Karachi, Pakistan</t>
        </is>
      </c>
      <c r="O53" s="8">
        <f>HYPERLINK("https://www.google.com/maps/place/Ahmed+Gym/data=!4m7!3m6!1s0x3eb338c1aa0b5b1b:0xc34b461338ce049a!8m2!3d24.9274276!4d67.1150466!16s%2Fg%2F1pp2twglg!19sChIJG1sLqsE4sz4RmgTOOBNGS8M?authuser=0&amp;hl=en&amp;g_ep=EgoyMDI2MDkyNy4xIJJjKgBIAVAD&amp;rclk=1", "📍 View Map")</f>
        <v/>
      </c>
    </row>
    <row r="54" ht="28" customHeight="1">
      <c r="A54" s="4" t="inlineStr">
        <is>
          <t>GF-KHI-051</t>
        </is>
      </c>
      <c r="B54" s="5" t="inlineStr">
        <is>
          <t>Xpansion Gym</t>
        </is>
      </c>
      <c r="C54" s="4" t="inlineStr">
        <is>
          <t>Gulistan-e-Johar</t>
        </is>
      </c>
      <c r="D54" s="6" t="inlineStr">
        <is>
          <t>+92 309 2586581</t>
        </is>
      </c>
      <c r="E54" s="8">
        <f>HYPERLINK("https://wa.me/923092586581", "💬 Open WhatsApp")</f>
        <v/>
      </c>
      <c r="F54" s="4" t="n">
        <v>4.5</v>
      </c>
      <c r="G54" s="6" t="inlineStr">
        <is>
          <t>Tier 3 (Local Community Gym)</t>
        </is>
      </c>
      <c r="H54" s="7" t="inlineStr">
        <is>
          <t>1. Not Contacted</t>
        </is>
      </c>
      <c r="I54" s="6" t="inlineStr"/>
      <c r="J54" s="6" t="inlineStr">
        <is>
          <t>Still using notebook/Excel register. Low tech barrier needed. Emphasize mobile-friendly Urdu/English interface and Rs 100/day cost.</t>
        </is>
      </c>
      <c r="K54" s="6" t="inlineStr">
        <is>
          <t>Replace Paper Register with 1-Click Mobile Member Entry &amp; Due Date SMS/WhatsApp</t>
        </is>
      </c>
      <c r="L54" s="6" t="inlineStr">
        <is>
          <t>Starter (Rs 2,500 - 3,500/mo)</t>
        </is>
      </c>
      <c r="M54" s="6" t="inlineStr">
        <is>
          <t>80 - 180 members</t>
        </is>
      </c>
      <c r="N54" s="6" t="inlineStr">
        <is>
          <t>King's trade Center basement s-b15, Block 3 A Gulistan-e-Johar, Karachi, Pakistan</t>
        </is>
      </c>
      <c r="O54" s="8">
        <f>HYPERLINK("https://www.google.com/maps/place/Xpansion+Gym/data=!4m7!3m6!1s0x3eb33969886bec2d:0x4c2b2b9483c8d132!8m2!3d24.9214568!4d67.1349479!16s%2Fg%2F11p00bn4fq!19sChIJLexriGk5sz4RMtHIg5QrK0w?authuser=0&amp;hl=en&amp;g_ep=EgoyMDI2MDkyNy4xIJJjKgBIAVAD&amp;rclk=1", "📍 View Map")</f>
        <v/>
      </c>
    </row>
    <row r="55" ht="28" customHeight="1">
      <c r="A55" s="4" t="inlineStr">
        <is>
          <t>GF-KHI-052</t>
        </is>
      </c>
      <c r="B55" s="5" t="inlineStr">
        <is>
          <t>Karachi Executive Gym for Ladies and Gents</t>
        </is>
      </c>
      <c r="C55" s="4" t="inlineStr">
        <is>
          <t>Gulistan-e-Johar</t>
        </is>
      </c>
      <c r="D55" s="6" t="inlineStr">
        <is>
          <t>+92 337 2357534</t>
        </is>
      </c>
      <c r="E55" s="8">
        <f>HYPERLINK("https://wa.me/923372357534", "💬 Open WhatsApp")</f>
        <v/>
      </c>
      <c r="F55" s="4" t="n">
        <v>3.6</v>
      </c>
      <c r="G55" s="6" t="inlineStr">
        <is>
          <t>Tier 3 (Local Community Gym)</t>
        </is>
      </c>
      <c r="H55" s="7" t="inlineStr">
        <is>
          <t>1. Not Contacted</t>
        </is>
      </c>
      <c r="I55" s="6" t="inlineStr"/>
      <c r="J55" s="6" t="inlineStr">
        <is>
          <t>Still using notebook/Excel register. Low tech barrier needed. Emphasize mobile-friendly Urdu/English interface and Rs 100/day cost.</t>
        </is>
      </c>
      <c r="K55" s="6" t="inlineStr">
        <is>
          <t>Replace Paper Register with 1-Click Mobile Member Entry &amp; Due Date SMS/WhatsApp</t>
        </is>
      </c>
      <c r="L55" s="6" t="inlineStr">
        <is>
          <t>Starter (Rs 2,500 - 3,500/mo)</t>
        </is>
      </c>
      <c r="M55" s="6" t="inlineStr">
        <is>
          <t>80 - 180 members</t>
        </is>
      </c>
      <c r="N55" s="6" t="inlineStr">
        <is>
          <t>Plot # 1-A Block A Rd, Latifi Cooperative cooperative housing society Block 20 Gulistan-e-Johar, Karachi, 75290, Pakistan</t>
        </is>
      </c>
      <c r="O55" s="8">
        <f>HYPERLINK("https://www.google.com/maps/place/Karachi+Executive+Gym+for+Ladies+and+Gents/data=!4m7!3m6!1s0x3eb33995083484dd:0xa5bd0143d3da649!8m2!3d24.9120036!4d67.1120585!16s%2Fg%2F11n00mzpvp!19sChIJ3YQ0CJU5sz4RSaY9PRTQWwo?authuser=0&amp;hl=en&amp;g_ep=EgoyMDI2MDkyNy4xIJJjKgBIAVAD&amp;rclk=1", "📍 View Map")</f>
        <v/>
      </c>
    </row>
    <row r="56" ht="28" customHeight="1">
      <c r="A56" s="4" t="inlineStr">
        <is>
          <t>GF-KHI-053</t>
        </is>
      </c>
      <c r="B56" s="5" t="inlineStr">
        <is>
          <t>Thrive Fitness</t>
        </is>
      </c>
      <c r="C56" s="4" t="inlineStr">
        <is>
          <t>Bahadurabad</t>
        </is>
      </c>
      <c r="D56" s="6" t="inlineStr">
        <is>
          <t>+92 304 0331999</t>
        </is>
      </c>
      <c r="E56" s="8">
        <f>HYPERLINK("https://wa.me/923040331999", "💬 Open WhatsApp")</f>
        <v/>
      </c>
      <c r="F56" s="4" t="n">
        <v>4.6</v>
      </c>
      <c r="G56" s="6" t="inlineStr">
        <is>
          <t>Tier 2 (High-Volume Mid-Market)</t>
        </is>
      </c>
      <c r="H56" s="7" t="inlineStr">
        <is>
          <t>1. Not Contacted</t>
        </is>
      </c>
      <c r="I56" s="6" t="inlineStr"/>
      <c r="J56" s="6" t="inlineStr">
        <is>
          <t>High member turnover &amp; unpaid fee leakage (15-25% dues delay). Pitch automated WhatsApp reminders and daily cash ledger.</t>
        </is>
      </c>
      <c r="K56" s="6" t="inlineStr">
        <is>
          <t>Eliminate Unpaid Member Dues with 3-Day Automated WhatsApp Payment Reminders</t>
        </is>
      </c>
      <c r="L56" s="6" t="inlineStr">
        <is>
          <t>Starter / Pro (Rs 3,500 - 7,500/mo)</t>
        </is>
      </c>
      <c r="M56" s="6" t="inlineStr">
        <is>
          <t>150 - 350 members</t>
        </is>
      </c>
      <c r="N56" s="6" t="inlineStr">
        <is>
          <t>293 Bahadurabad Rd No. 15, Bahadurabad Bahadur Yar Jang CHS, Karachi, 07482, Pakistan</t>
        </is>
      </c>
      <c r="O56" s="8">
        <f>HYPERLINK("https://www.google.com/maps/place/Thrive+Fitness/data=!4m7!3m6!1s0x3eb33f93dc0c8f15:0x8fd6902a5a40e2d3!8m2!3d24.8852117!4d67.0697833!16s%2Fg%2F11yn52j6km!19sChIJFY8M3JM_sz4R0-JAWiqQ1o8?authuser=0&amp;hl=en&amp;g_ep=EgoyMDI2MDkyNy4xIJJjKgBIAVAD&amp;rclk=1", "📍 View Map")</f>
        <v/>
      </c>
    </row>
    <row r="57" ht="28" customHeight="1">
      <c r="A57" s="4" t="inlineStr">
        <is>
          <t>GF-KHI-054</t>
        </is>
      </c>
      <c r="B57" s="5" t="inlineStr">
        <is>
          <t>Fitnasium Studio</t>
        </is>
      </c>
      <c r="C57" s="4" t="inlineStr">
        <is>
          <t>Bahadurabad</t>
        </is>
      </c>
      <c r="D57" s="6" t="inlineStr">
        <is>
          <t>+92 319 2713005</t>
        </is>
      </c>
      <c r="E57" s="8">
        <f>HYPERLINK("https://wa.me/923192713005", "💬 Open WhatsApp")</f>
        <v/>
      </c>
      <c r="F57" s="4" t="n">
        <v>4</v>
      </c>
      <c r="G57" s="6" t="inlineStr">
        <is>
          <t>Tier 1 (Premium / Boutique)</t>
        </is>
      </c>
      <c r="H57" s="7" t="inlineStr">
        <is>
          <t>1. Not Contacted</t>
        </is>
      </c>
      <c r="I57" s="6" t="inlineStr"/>
      <c r="J57" s="6" t="inlineStr">
        <is>
          <t>High fee structure (Rs 8k - 25k/mo). Owners care about brand prestige, zero counter friction, and automated payment receipts.</t>
        </is>
      </c>
      <c r="K57" s="6" t="inlineStr">
        <is>
          <t>Automated WhatsApp Fee Receipts + Raast QR Instant Verification + Member Retention Dashboard</t>
        </is>
      </c>
      <c r="L57" s="6" t="inlineStr">
        <is>
          <t>Pro / Enterprise (Rs 7,500 - 15,000/mo)</t>
        </is>
      </c>
      <c r="M57" s="6" t="inlineStr">
        <is>
          <t>250 - 600 members</t>
        </is>
      </c>
      <c r="N57" s="6" t="inlineStr">
        <is>
          <t>Plot No: 3/147, near Tooso Restaurant, Bahadurabad BMCHS Sharafabad, Karachi, 07482, Pakistan</t>
        </is>
      </c>
      <c r="O57" s="8">
        <f>HYPERLINK("https://www.google.com/maps/place/Fitnasium+Studio/data=!4m7!3m6!1s0x3eb33ec1c862851f:0xbf1084c904b0df63!8m2!3d24.8823125!4d67.0715625!16s%2Fg%2F11c481q5g2!19sChIJH4ViyME-sz4RY9-wBMmEEL8?authuser=0&amp;hl=en&amp;g_ep=EgoyMDI2MDkyNy4xIJJjKgBIAVAD&amp;rclk=1", "📍 View Map")</f>
        <v/>
      </c>
    </row>
    <row r="58" ht="28" customHeight="1">
      <c r="A58" s="4" t="inlineStr">
        <is>
          <t>GF-KHI-055</t>
        </is>
      </c>
      <c r="B58" s="5" t="inlineStr">
        <is>
          <t>APEX FITNESS - BAHADURABAD</t>
        </is>
      </c>
      <c r="C58" s="4" t="inlineStr">
        <is>
          <t>Bahadurabad</t>
        </is>
      </c>
      <c r="D58" s="6" t="inlineStr">
        <is>
          <t>+92 335 2360789</t>
        </is>
      </c>
      <c r="E58" s="8">
        <f>HYPERLINK("https://wa.me/923352360789", "💬 Open WhatsApp")</f>
        <v/>
      </c>
      <c r="F58" s="4" t="n">
        <v>4.9</v>
      </c>
      <c r="G58" s="6" t="inlineStr">
        <is>
          <t>Tier 2 (High-Volume Mid-Market)</t>
        </is>
      </c>
      <c r="H58" s="7" t="inlineStr">
        <is>
          <t>1. Not Contacted</t>
        </is>
      </c>
      <c r="I58" s="6" t="inlineStr"/>
      <c r="J58" s="6" t="inlineStr">
        <is>
          <t>High member turnover &amp; unpaid fee leakage (15-25% dues delay). Pitch automated WhatsApp reminders and daily cash ledger.</t>
        </is>
      </c>
      <c r="K58" s="6" t="inlineStr">
        <is>
          <t>Eliminate Unpaid Member Dues with 3-Day Automated WhatsApp Payment Reminders</t>
        </is>
      </c>
      <c r="L58" s="6" t="inlineStr">
        <is>
          <t>Starter / Pro (Rs 3,500 - 7,500/mo)</t>
        </is>
      </c>
      <c r="M58" s="6" t="inlineStr">
        <is>
          <t>150 - 350 members</t>
        </is>
      </c>
      <c r="N58" s="6" t="inlineStr">
        <is>
          <t>Bismillah Palace, Street No.9, Jamaluddin Afghani Rd, Near Chaar Minar Chowrangi, Bihar Muslim Society, Bahadurabad BMCHS Sharafabad, Karachi, 74800, Pakistan</t>
        </is>
      </c>
      <c r="O58" s="8">
        <f>HYPERLINK("https://www.google.com/maps/place/APEX+FITNESS+-+BAHADURABAD/data=!4m7!3m6!1s0x3eb3395173421f8b:0xfc88f31036c361a8!8m2!3d24.8841284!4d67.0654332!16s%2Fg%2F11ym83x_1w!19sChIJix9Cc1E5sz4RqGHDNhDziPw?authuser=0&amp;hl=en&amp;g_ep=EgoyMDI2MDkyNy4xIJJjKgBIAVAD&amp;rclk=1", "📍 View Map")</f>
        <v/>
      </c>
    </row>
    <row r="59" ht="28" customHeight="1">
      <c r="A59" s="4" t="inlineStr">
        <is>
          <t>GF-KHI-056</t>
        </is>
      </c>
      <c r="B59" s="5" t="inlineStr">
        <is>
          <t>Movenfit PECHS</t>
        </is>
      </c>
      <c r="C59" s="4" t="inlineStr">
        <is>
          <t>PECHS</t>
        </is>
      </c>
      <c r="D59" s="6" t="inlineStr">
        <is>
          <t>+92 333 2750995</t>
        </is>
      </c>
      <c r="E59" s="8">
        <f>HYPERLINK("https://wa.me/923332750995", "💬 Open WhatsApp")</f>
        <v/>
      </c>
      <c r="F59" s="4" t="n">
        <v>4.6</v>
      </c>
      <c r="G59" s="6" t="inlineStr">
        <is>
          <t>Tier 2 (High-Volume Mid-Market)</t>
        </is>
      </c>
      <c r="H59" s="7" t="inlineStr">
        <is>
          <t>1. Not Contacted</t>
        </is>
      </c>
      <c r="I59" s="6" t="inlineStr"/>
      <c r="J59" s="6" t="inlineStr">
        <is>
          <t>High member turnover &amp; unpaid fee leakage (15-25% dues delay). Pitch automated WhatsApp reminders and daily cash ledger.</t>
        </is>
      </c>
      <c r="K59" s="6" t="inlineStr">
        <is>
          <t>Eliminate Unpaid Member Dues with 3-Day Automated WhatsApp Payment Reminders</t>
        </is>
      </c>
      <c r="L59" s="6" t="inlineStr">
        <is>
          <t>Starter / Pro (Rs 3,500 - 7,500/mo)</t>
        </is>
      </c>
      <c r="M59" s="6" t="inlineStr">
        <is>
          <t>150 - 350 members</t>
        </is>
      </c>
      <c r="N59" s="6" t="inlineStr">
        <is>
          <t>Shop#5, Grappetite Chowrangi, Bihar Muslim Society Bahadurabad, Karachi, 74800, Pakistan</t>
        </is>
      </c>
      <c r="O59" s="8">
        <f>HYPERLINK("https://www.google.com/maps/place/Movenfit+PECHS/data=!4m7!3m6!1s0x3eb33f749e4df0a5:0x1d619937ead9e0a9!8m2!3d24.8822434!4d67.0667619!16s%2Fg%2F11llbfl9f8!19sChIJpfBNnnQ_sz4RqeDZ6jeZYR0?authuser=0&amp;hl=en&amp;g_ep=EgoyMDI2MDkyNy4xIJJjKgBIAVAD&amp;rclk=1", "📍 View Map")</f>
        <v/>
      </c>
    </row>
    <row r="60" ht="28" customHeight="1">
      <c r="A60" s="4" t="inlineStr">
        <is>
          <t>GF-KHI-057</t>
        </is>
      </c>
      <c r="B60" s="5" t="inlineStr">
        <is>
          <t>FIT HIT FITNESS</t>
        </is>
      </c>
      <c r="C60" s="4" t="inlineStr">
        <is>
          <t>Bahadurabad</t>
        </is>
      </c>
      <c r="D60" s="6" t="inlineStr">
        <is>
          <t>+92 21 34550068</t>
        </is>
      </c>
      <c r="E60" s="6" t="inlineStr">
        <is>
          <t>Landline / Call</t>
        </is>
      </c>
      <c r="F60" s="4" t="n">
        <v>4.3</v>
      </c>
      <c r="G60" s="6" t="inlineStr">
        <is>
          <t>Tier 2 (High-Volume Mid-Market)</t>
        </is>
      </c>
      <c r="H60" s="7" t="inlineStr">
        <is>
          <t>1. Not Contacted</t>
        </is>
      </c>
      <c r="I60" s="6" t="inlineStr"/>
      <c r="J60" s="6" t="inlineStr">
        <is>
          <t>High member turnover &amp; unpaid fee leakage (15-25% dues delay). Pitch automated WhatsApp reminders and daily cash ledger.</t>
        </is>
      </c>
      <c r="K60" s="6" t="inlineStr">
        <is>
          <t>Eliminate Unpaid Member Dues with 3-Day Automated WhatsApp Payment Reminders</t>
        </is>
      </c>
      <c r="L60" s="6" t="inlineStr">
        <is>
          <t>Starter / Pro (Rs 3,500 - 7,500/mo)</t>
        </is>
      </c>
      <c r="M60" s="6" t="inlineStr">
        <is>
          <t>150 - 350 members</t>
        </is>
      </c>
      <c r="N60" s="6" t="inlineStr">
        <is>
          <t>D91, Tipu Sultan Rd, KDA Scheme #1 KDA Scheme 1, Karachi, 75350, Pakistan</t>
        </is>
      </c>
      <c r="O60" s="8">
        <f>HYPERLINK("https://www.google.com/maps/place/FIT+HIT+FITNESS/data=!4m7!3m6!1s0x3eb33f004ad9dbfd:0x4c9b4ba9b846735c!8m2!3d24.8747955!4d67.0876405!16s%2Fg%2F11xff3zmpk!19sChIJ_dvZSgA_sz4RXHNGuKlLm0w?authuser=0&amp;hl=en&amp;g_ep=EgoyMDI2MDkyNy4xIJJjKgBIAVAD&amp;rclk=1", "📍 View Map")</f>
        <v/>
      </c>
    </row>
    <row r="61" ht="28" customHeight="1">
      <c r="A61" s="4" t="inlineStr">
        <is>
          <t>GF-KHI-058</t>
        </is>
      </c>
      <c r="B61" s="5" t="inlineStr">
        <is>
          <t>Get Smart Gym Tariq Road</t>
        </is>
      </c>
      <c r="C61" s="4" t="inlineStr">
        <is>
          <t>PECHS</t>
        </is>
      </c>
      <c r="D61" s="6" t="inlineStr">
        <is>
          <t>+92 21 34557137</t>
        </is>
      </c>
      <c r="E61" s="6" t="inlineStr">
        <is>
          <t>Landline / Call</t>
        </is>
      </c>
      <c r="F61" s="4" t="n">
        <v>4</v>
      </c>
      <c r="G61" s="6" t="inlineStr">
        <is>
          <t>Tier 2 (High-Volume Mid-Market)</t>
        </is>
      </c>
      <c r="H61" s="7" t="inlineStr">
        <is>
          <t>1. Not Contacted</t>
        </is>
      </c>
      <c r="I61" s="6" t="inlineStr"/>
      <c r="J61" s="6" t="inlineStr">
        <is>
          <t>High member turnover &amp; unpaid fee leakage (15-25% dues delay). Pitch automated WhatsApp reminders and daily cash ledger.</t>
        </is>
      </c>
      <c r="K61" s="6" t="inlineStr">
        <is>
          <t>Eliminate Unpaid Member Dues with 3-Day Automated WhatsApp Payment Reminders</t>
        </is>
      </c>
      <c r="L61" s="6" t="inlineStr">
        <is>
          <t>Starter / Pro (Rs 3,500 - 7,500/mo)</t>
        </is>
      </c>
      <c r="M61" s="6" t="inlineStr">
        <is>
          <t>150 - 350 members</t>
        </is>
      </c>
      <c r="N61" s="6" t="inlineStr">
        <is>
          <t>3rd Floor، Glamour One Mall، Block 3 Tariq Rd, Block 3 P.E.C.H.S., Karachi, 75400, Pakistan</t>
        </is>
      </c>
      <c r="O61" s="8">
        <f>HYPERLINK("https://www.google.com/maps/place/Get+Smart+Gym+Tariq+Road/data=!4m7!3m6!1s0x3eb33f2183c690c5:0x86bb242873091b5f!8m2!3d24.8759053!4d67.0623535!16s%2Fg%2F1td_94jl!19sChIJxZDGgyE_sz4RXxsJcygku4Y?authuser=0&amp;hl=en&amp;g_ep=EgoyMDI2MDkyNy4xIJJjKgBIAVAD&amp;rclk=1", "📍 View Map")</f>
        <v/>
      </c>
    </row>
    <row r="62" ht="28" customHeight="1">
      <c r="A62" s="4" t="inlineStr">
        <is>
          <t>GF-KHI-059</t>
        </is>
      </c>
      <c r="B62" s="5" t="inlineStr">
        <is>
          <t>Fortune Fitness (Gym)</t>
        </is>
      </c>
      <c r="C62" s="4" t="inlineStr">
        <is>
          <t>Tariq Road</t>
        </is>
      </c>
      <c r="D62" s="6" t="inlineStr">
        <is>
          <t>+92 319 1508403</t>
        </is>
      </c>
      <c r="E62" s="8">
        <f>HYPERLINK("https://wa.me/923191508403", "💬 Open WhatsApp")</f>
        <v/>
      </c>
      <c r="F62" s="4" t="n">
        <v>4.2</v>
      </c>
      <c r="G62" s="6" t="inlineStr">
        <is>
          <t>Tier 2 (High-Volume Mid-Market)</t>
        </is>
      </c>
      <c r="H62" s="7" t="inlineStr">
        <is>
          <t>1. Not Contacted</t>
        </is>
      </c>
      <c r="I62" s="6" t="inlineStr"/>
      <c r="J62" s="6" t="inlineStr">
        <is>
          <t>High member turnover &amp; unpaid fee leakage (15-25% dues delay). Pitch automated WhatsApp reminders and daily cash ledger.</t>
        </is>
      </c>
      <c r="K62" s="6" t="inlineStr">
        <is>
          <t>Eliminate Unpaid Member Dues with 3-Day Automated WhatsApp Payment Reminders</t>
        </is>
      </c>
      <c r="L62" s="6" t="inlineStr">
        <is>
          <t>Starter / Pro (Rs 3,500 - 7,500/mo)</t>
        </is>
      </c>
      <c r="M62" s="6" t="inlineStr">
        <is>
          <t>150 - 350 members</t>
        </is>
      </c>
      <c r="N62" s="6" t="inlineStr">
        <is>
          <t>Jamshed Rd, Jamshed Quarters Amil Colony, Karachi, Pakistan</t>
        </is>
      </c>
      <c r="O62" s="8">
        <f>HYPERLINK("https://www.google.com/maps/place/Fortune+Fitness+%28Gym%29/data=!4m7!3m6!1s0x3eb33fd0d0c3622f:0x59e85e94d00920d2!8m2!3d24.8616059!4d67.0662372!16s%2Fg%2F11k56l9tx8!19sChIJL2LD0NA_sz4R0iAJ0JRe6Fk?authuser=0&amp;hl=en&amp;g_ep=EgoyMDI2MDkyNy4xIJJjKgBIAVAD&amp;rclk=1", "📍 View Map")</f>
        <v/>
      </c>
    </row>
    <row r="63" ht="28" customHeight="1">
      <c r="A63" s="4" t="inlineStr">
        <is>
          <t>GF-KHI-060</t>
        </is>
      </c>
      <c r="B63" s="5" t="inlineStr">
        <is>
          <t>The Fit Camp</t>
        </is>
      </c>
      <c r="C63" s="4" t="inlineStr">
        <is>
          <t>PECHS</t>
        </is>
      </c>
      <c r="D63" s="6" t="inlineStr">
        <is>
          <t>+92 311 8260598</t>
        </is>
      </c>
      <c r="E63" s="8">
        <f>HYPERLINK("https://wa.me/923118260598", "💬 Open WhatsApp")</f>
        <v/>
      </c>
      <c r="F63" s="4" t="n">
        <v>4.9</v>
      </c>
      <c r="G63" s="6" t="inlineStr">
        <is>
          <t>Tier 2 (High-Volume Mid-Market)</t>
        </is>
      </c>
      <c r="H63" s="7" t="inlineStr">
        <is>
          <t>1. Not Contacted</t>
        </is>
      </c>
      <c r="I63" s="6" t="inlineStr"/>
      <c r="J63" s="6" t="inlineStr">
        <is>
          <t>High member turnover &amp; unpaid fee leakage (15-25% dues delay). Pitch automated WhatsApp reminders and daily cash ledger.</t>
        </is>
      </c>
      <c r="K63" s="6" t="inlineStr">
        <is>
          <t>Eliminate Unpaid Member Dues with 3-Day Automated WhatsApp Payment Reminders</t>
        </is>
      </c>
      <c r="L63" s="6" t="inlineStr">
        <is>
          <t>Starter / Pro (Rs 3,500 - 7,500/mo)</t>
        </is>
      </c>
      <c r="M63" s="6" t="inlineStr">
        <is>
          <t>150 - 350 members</t>
        </is>
      </c>
      <c r="N63" s="6" t="inlineStr">
        <is>
          <t>Plot no.23-D, Block 7/8 Tipu Sultan Rd, next to Espresso, Habitt, Karachi Memon Co-operative Housing Society Karachi Memon Society P.E.C.H.S., Karachi, 75400, Pakistan</t>
        </is>
      </c>
      <c r="O63" s="8">
        <f>HYPERLINK("https://www.google.com/maps/place/The+Fit+Camp/data=!4m7!3m6!1s0x3eb33f01537dbd1d:0x55cb37a51dacb04d!8m2!3d24.8671515!4d67.0774236!16s%2Fg%2F11hdvp78fj!19sChIJHb19UwE_sz4RTbCsHaU3y1U?authuser=0&amp;hl=en&amp;g_ep=EgoyMDI2MDkyNy4xIJJjKgBIAVAD&amp;rclk=1", "📍 View Map")</f>
        <v/>
      </c>
    </row>
    <row r="64" ht="28" customHeight="1">
      <c r="A64" s="4" t="inlineStr">
        <is>
          <t>GF-KHI-061</t>
        </is>
      </c>
      <c r="B64" s="5" t="inlineStr">
        <is>
          <t>Uk branded fitness club</t>
        </is>
      </c>
      <c r="C64" s="4" t="inlineStr">
        <is>
          <t>Shahrah-e-Faisal</t>
        </is>
      </c>
      <c r="D64" s="6" t="inlineStr">
        <is>
          <t>+92 333 8877012</t>
        </is>
      </c>
      <c r="E64" s="8">
        <f>HYPERLINK("https://wa.me/923338877012", "💬 Open WhatsApp")</f>
        <v/>
      </c>
      <c r="F64" s="4" t="n">
        <v>4</v>
      </c>
      <c r="G64" s="6" t="inlineStr">
        <is>
          <t>Tier 1 (Premium / Boutique)</t>
        </is>
      </c>
      <c r="H64" s="7" t="inlineStr">
        <is>
          <t>1. Not Contacted</t>
        </is>
      </c>
      <c r="I64" s="6" t="inlineStr"/>
      <c r="J64" s="6" t="inlineStr">
        <is>
          <t>High fee structure (Rs 8k - 25k/mo). Owners care about brand prestige, zero counter friction, and automated payment receipts.</t>
        </is>
      </c>
      <c r="K64" s="6" t="inlineStr">
        <is>
          <t>Automated WhatsApp Fee Receipts + Raast QR Instant Verification + Member Retention Dashboard</t>
        </is>
      </c>
      <c r="L64" s="6" t="inlineStr">
        <is>
          <t>Pro / Enterprise (Rs 7,500 - 15,000/mo)</t>
        </is>
      </c>
      <c r="M64" s="6" t="inlineStr">
        <is>
          <t>250 - 600 members</t>
        </is>
      </c>
      <c r="N64" s="6" t="inlineStr">
        <is>
          <t>Plot 64 A, Block 1 Shah Faisal Colony 1 Shah Faisal Colony, Shah Faisal Town, 75230, Pakistan</t>
        </is>
      </c>
      <c r="O64" s="8">
        <f>HYPERLINK("https://www.google.com/maps/place/Uk+branded+fitness+club/data=!4m7!3m6!1s0x3eb339498b479121:0xc5d37a73add606ee!8m2!3d24.8831462!4d67.145081!16s%2Fg%2F11v59_cyx8!19sChIJIZFHi0k5sz4R7gbWrXN608U?authuser=0&amp;hl=en&amp;g_ep=EgoyMDI2MDkyNy4xIJJjKgBIAVAD&amp;rclk=1", "📍 View Map")</f>
        <v/>
      </c>
    </row>
    <row r="65" ht="28" customHeight="1">
      <c r="A65" s="4" t="inlineStr">
        <is>
          <t>GF-KHI-062</t>
        </is>
      </c>
      <c r="B65" s="5" t="inlineStr">
        <is>
          <t>Fit Freak Fitness Center</t>
        </is>
      </c>
      <c r="C65" s="4" t="inlineStr">
        <is>
          <t>Malir</t>
        </is>
      </c>
      <c r="D65" s="6" t="inlineStr">
        <is>
          <t>+92 370 3979997</t>
        </is>
      </c>
      <c r="E65" s="8">
        <f>HYPERLINK("https://wa.me/923703979997", "💬 Open WhatsApp")</f>
        <v/>
      </c>
      <c r="F65" s="4" t="n">
        <v>4.9</v>
      </c>
      <c r="G65" s="6" t="inlineStr">
        <is>
          <t>Tier 3 (Local Community Gym)</t>
        </is>
      </c>
      <c r="H65" s="7" t="inlineStr">
        <is>
          <t>1. Not Contacted</t>
        </is>
      </c>
      <c r="I65" s="6" t="inlineStr"/>
      <c r="J65" s="6" t="inlineStr">
        <is>
          <t>Still using notebook/Excel register. Low tech barrier needed. Emphasize mobile-friendly Urdu/English interface and Rs 100/day cost.</t>
        </is>
      </c>
      <c r="K65" s="6" t="inlineStr">
        <is>
          <t>Replace Paper Register with 1-Click Mobile Member Entry &amp; Due Date SMS/WhatsApp</t>
        </is>
      </c>
      <c r="L65" s="6" t="inlineStr">
        <is>
          <t>Starter (Rs 2,500 - 3,500/mo)</t>
        </is>
      </c>
      <c r="M65" s="6" t="inlineStr">
        <is>
          <t>80 - 180 members</t>
        </is>
      </c>
      <c r="N65" s="6" t="inlineStr">
        <is>
          <t>Street 39 Sector E, Askari V, Malir Cantonment, Karachi, 75090, Pakistan</t>
        </is>
      </c>
      <c r="O65" s="8">
        <f>HYPERLINK("https://www.google.com/maps/place/Fit+Freak+Fitness+Center/data=!4m7!3m6!1s0x3eb3390006b1aabb:0xec4dc85cfeb85c7c!8m2!3d24.9463217!4d67.1842693!16s%2Fg%2F11x_bjhvmd!19sChIJu6qxBgA5sz4RfFy4_lzITew?authuser=0&amp;hl=en&amp;g_ep=EgoyMDI2MDkyNy4xIJJjKgBIAVAD&amp;rclk=1", "📍 View Map")</f>
        <v/>
      </c>
    </row>
    <row r="66" ht="28" customHeight="1">
      <c r="A66" s="4" t="inlineStr">
        <is>
          <t>GF-KHI-063</t>
        </is>
      </c>
      <c r="B66" s="5" t="inlineStr">
        <is>
          <t>Get Smart Gym Malir Cantt</t>
        </is>
      </c>
      <c r="C66" s="4" t="inlineStr">
        <is>
          <t>DHA</t>
        </is>
      </c>
      <c r="D66" s="6" t="inlineStr">
        <is>
          <t>+92 21 34900300</t>
        </is>
      </c>
      <c r="E66" s="6" t="inlineStr">
        <is>
          <t>Landline / Call</t>
        </is>
      </c>
      <c r="F66" s="4" t="n">
        <v>4.2</v>
      </c>
      <c r="G66" s="6" t="inlineStr">
        <is>
          <t>Tier 1 (Premium / Boutique)</t>
        </is>
      </c>
      <c r="H66" s="7" t="inlineStr">
        <is>
          <t>1. Not Contacted</t>
        </is>
      </c>
      <c r="I66" s="6" t="inlineStr"/>
      <c r="J66" s="6" t="inlineStr">
        <is>
          <t>High fee structure (Rs 8k - 25k/mo). Owners care about brand prestige, zero counter friction, and automated payment receipts.</t>
        </is>
      </c>
      <c r="K66" s="6" t="inlineStr">
        <is>
          <t>Automated WhatsApp Fee Receipts + Raast QR Instant Verification + Member Retention Dashboard</t>
        </is>
      </c>
      <c r="L66" s="6" t="inlineStr">
        <is>
          <t>Pro / Enterprise (Rs 7,500 - 15,000/mo)</t>
        </is>
      </c>
      <c r="M66" s="6" t="inlineStr">
        <is>
          <t>250 - 600 members</t>
        </is>
      </c>
      <c r="N66" s="6" t="inlineStr">
        <is>
          <t>New Air Defence Mart Complex, Malir Cantonment, Karachi, 75080, Pakistan</t>
        </is>
      </c>
      <c r="O66" s="8">
        <f>HYPERLINK("https://www.google.com/maps/place/Get+Smart+Gym+Malir+Cantt/data=!4m7!3m6!1s0x3eb3394b23a298b5:0xf4e63576e704b7c9!8m2!3d24.9329976!4d67.1822165!16s%2Fg%2F11svf9zpjl!19sChIJtZiiI0s5sz4RybcE53Y15vQ?authuser=0&amp;hl=en&amp;g_ep=EgoyMDI2MDkyNy4xIJJjKgBIAVAD&amp;rclk=1", "📍 View Map")</f>
        <v/>
      </c>
    </row>
    <row r="67" ht="28" customHeight="1">
      <c r="A67" s="4" t="inlineStr">
        <is>
          <t>GF-KHI-064</t>
        </is>
      </c>
      <c r="B67" s="5" t="inlineStr">
        <is>
          <t>Cuts and Muscles Gym</t>
        </is>
      </c>
      <c r="C67" s="4" t="inlineStr">
        <is>
          <t>Clifton</t>
        </is>
      </c>
      <c r="D67" s="6" t="inlineStr">
        <is>
          <t>+92 21 35821395</t>
        </is>
      </c>
      <c r="E67" s="6" t="inlineStr">
        <is>
          <t>Landline / Call</t>
        </is>
      </c>
      <c r="F67" s="4" t="n">
        <v>4.5</v>
      </c>
      <c r="G67" s="6" t="inlineStr">
        <is>
          <t>Tier 1 (Premium / Boutique)</t>
        </is>
      </c>
      <c r="H67" s="7" t="inlineStr">
        <is>
          <t>1. Not Contacted</t>
        </is>
      </c>
      <c r="I67" s="6" t="inlineStr"/>
      <c r="J67" s="6" t="inlineStr">
        <is>
          <t>High fee structure (Rs 8k - 25k/mo). Owners care about brand prestige, zero counter friction, and automated payment receipts.</t>
        </is>
      </c>
      <c r="K67" s="6" t="inlineStr">
        <is>
          <t>Automated WhatsApp Fee Receipts + Raast QR Instant Verification + Member Retention Dashboard</t>
        </is>
      </c>
      <c r="L67" s="6" t="inlineStr">
        <is>
          <t>Pro / Enterprise (Rs 7,500 - 15,000/mo)</t>
        </is>
      </c>
      <c r="M67" s="6" t="inlineStr">
        <is>
          <t>250 - 600 members</t>
        </is>
      </c>
      <c r="N67" s="6" t="inlineStr">
        <is>
          <t>R2HV+C7P, Khayaban-e-Jami, Chandio Block 8 Clifton, Karachi, 75600, Pakistan</t>
        </is>
      </c>
      <c r="O67" s="8">
        <f>HYPERLINK("https://www.google.com/maps/place/Cuts+and+Muscles+Gym/data=!4m7!3m6!1s0x3eb33db59b55de47:0x3db1394d6c58b9e0!8m2!3d24.8285907!4d67.043203!16s%2Fg%2F1ty72rld!19sChIJR95Vm7U9sz4R4LlYbE05sT0?authuser=0&amp;hl=en&amp;g_ep=EgoyMDI2MDkyOC4wIJJjKgBIAVAD&amp;rclk=1", "📍 View Map")</f>
        <v/>
      </c>
    </row>
    <row r="68" ht="28" customHeight="1">
      <c r="A68" s="4" t="inlineStr">
        <is>
          <t>GF-KHI-065</t>
        </is>
      </c>
      <c r="B68" s="5" t="inlineStr">
        <is>
          <t>Shapes Wellness Club - Karachi</t>
        </is>
      </c>
      <c r="C68" s="4" t="inlineStr">
        <is>
          <t>DHA</t>
        </is>
      </c>
      <c r="D68" s="6" t="inlineStr">
        <is>
          <t>+92 21 35655973</t>
        </is>
      </c>
      <c r="E68" s="6" t="inlineStr">
        <is>
          <t>Landline / Call</t>
        </is>
      </c>
      <c r="F68" s="4" t="n">
        <v>4.3</v>
      </c>
      <c r="G68" s="6" t="inlineStr">
        <is>
          <t>Tier 1 (Premium / Boutique)</t>
        </is>
      </c>
      <c r="H68" s="7" t="inlineStr">
        <is>
          <t>1. Not Contacted</t>
        </is>
      </c>
      <c r="I68" s="6" t="inlineStr"/>
      <c r="J68" s="6" t="inlineStr">
        <is>
          <t>High fee structure (Rs 8k - 25k/mo). Owners care about brand prestige, zero counter friction, and automated payment receipts.</t>
        </is>
      </c>
      <c r="K68" s="6" t="inlineStr">
        <is>
          <t>Automated WhatsApp Fee Receipts + Raast QR Instant Verification + Member Retention Dashboard</t>
        </is>
      </c>
      <c r="L68" s="6" t="inlineStr">
        <is>
          <t>Pro / Enterprise (Rs 7,500 - 15,000/mo)</t>
        </is>
      </c>
      <c r="M68" s="6" t="inlineStr">
        <is>
          <t>250 - 600 members</t>
        </is>
      </c>
      <c r="N68" s="6" t="inlineStr">
        <is>
          <t>Shapes Wellness Club - Karachi</t>
        </is>
      </c>
      <c r="O68" s="8">
        <f>HYPERLINK("https://www.google.com/maps/place/Shapes+Wellness+Club+-+Karachi/data=!4m7!3m6!1s0x3eb33dd21f58789b:0xe7f7781147bdbbc6!8m2!3d24.8418638!4d67.0407067!16s%2Fg%2F1ts1qq7g!19sChIJm3hYH9I9sz4Rxru9RxF49-c?authuser=0&amp;hl=en&amp;g_ep=EgoyMDI2MDkyOC4wIJJjKgBIAVAD&amp;rclk=1", "📍 View Map")</f>
        <v/>
      </c>
    </row>
    <row r="69" ht="28" customHeight="1">
      <c r="A69" s="4" t="inlineStr">
        <is>
          <t>GF-KHI-066</t>
        </is>
      </c>
      <c r="B69" s="5" t="inlineStr">
        <is>
          <t>Density Fitness Gym</t>
        </is>
      </c>
      <c r="C69" s="4" t="inlineStr">
        <is>
          <t>Gulshan-e-Iqbal</t>
        </is>
      </c>
      <c r="D69" s="6" t="inlineStr">
        <is>
          <t>+92 345 2240815</t>
        </is>
      </c>
      <c r="E69" s="8">
        <f>HYPERLINK("https://wa.me/923452240815", "💬 Open WhatsApp")</f>
        <v/>
      </c>
      <c r="F69" s="4" t="n">
        <v>4.7</v>
      </c>
      <c r="G69" s="6" t="inlineStr">
        <is>
          <t>Tier 2 (High-Volume Mid-Market)</t>
        </is>
      </c>
      <c r="H69" s="7" t="inlineStr">
        <is>
          <t>1. Not Contacted</t>
        </is>
      </c>
      <c r="I69" s="6" t="inlineStr"/>
      <c r="J69" s="6" t="inlineStr">
        <is>
          <t>High member turnover &amp; unpaid fee leakage (15-25% dues delay). Pitch automated WhatsApp reminders and daily cash ledger.</t>
        </is>
      </c>
      <c r="K69" s="6" t="inlineStr">
        <is>
          <t>Eliminate Unpaid Member Dues with 3-Day Automated WhatsApp Payment Reminders</t>
        </is>
      </c>
      <c r="L69" s="6" t="inlineStr">
        <is>
          <t>Starter / Pro (Rs 3,500 - 7,500/mo)</t>
        </is>
      </c>
      <c r="M69" s="6" t="inlineStr">
        <is>
          <t>150 - 350 members</t>
        </is>
      </c>
      <c r="N69" s="6" t="inlineStr">
        <is>
          <t>Block 16 Gulshan-e-Iqbal, Karachi, Pakistan</t>
        </is>
      </c>
      <c r="O69" s="8">
        <f>HYPERLINK("https://www.google.com/maps/place/Density+Fitness+Gym/data=!4m7!3m6!1s0x3eb33f98c940d7cd:0x3264ccb2b64a6fd0!8m2!3d24.9035156!4d67.0803502!16s%2Fg%2F11t5np2g0v!19sChIJzddAyZg_sz4R0G9KtrLMZDI?authuser=0&amp;hl=en&amp;g_ep=EgoyMDI2MDkyOC4wIJJjKgBIAVAD&amp;rclk=1", "📍 View Map")</f>
        <v/>
      </c>
    </row>
    <row r="70" ht="28" customHeight="1">
      <c r="A70" s="4" t="inlineStr">
        <is>
          <t>GF-KHI-067</t>
        </is>
      </c>
      <c r="B70" s="5" t="inlineStr">
        <is>
          <t>Get Smart Gym Gulshan</t>
        </is>
      </c>
      <c r="C70" s="4" t="inlineStr">
        <is>
          <t>Gulshan-e-Iqbal</t>
        </is>
      </c>
      <c r="D70" s="6" t="inlineStr">
        <is>
          <t>+92 21 34173773</t>
        </is>
      </c>
      <c r="E70" s="6" t="inlineStr">
        <is>
          <t>Landline / Call</t>
        </is>
      </c>
      <c r="F70" s="4" t="n">
        <v>4.1</v>
      </c>
      <c r="G70" s="6" t="inlineStr">
        <is>
          <t>Tier 2 (High-Volume Mid-Market)</t>
        </is>
      </c>
      <c r="H70" s="7" t="inlineStr">
        <is>
          <t>1. Not Contacted</t>
        </is>
      </c>
      <c r="I70" s="6" t="inlineStr"/>
      <c r="J70" s="6" t="inlineStr">
        <is>
          <t>High member turnover &amp; unpaid fee leakage (15-25% dues delay). Pitch automated WhatsApp reminders and daily cash ledger.</t>
        </is>
      </c>
      <c r="K70" s="6" t="inlineStr">
        <is>
          <t>Eliminate Unpaid Member Dues with 3-Day Automated WhatsApp Payment Reminders</t>
        </is>
      </c>
      <c r="L70" s="6" t="inlineStr">
        <is>
          <t>Starter / Pro (Rs 3,500 - 7,500/mo)</t>
        </is>
      </c>
      <c r="M70" s="6" t="inlineStr">
        <is>
          <t>150 - 350 members</t>
        </is>
      </c>
      <c r="N70" s="6" t="inlineStr">
        <is>
          <t>Sawana City, Mezzanine floor, Block 13D-2, Sehba, Sahba Akhtar Rd, Block 13 D 3 Gulshan-e-Iqbal, Karachi, Pakistan</t>
        </is>
      </c>
      <c r="O70" s="8">
        <f>HYPERLINK("https://www.google.com/maps/place/Get+Smart+Gym+Gulshan/data=!4m7!3m6!1s0x3eb33f2183d2bd23:0x7609d0fd882b1795!8m2!3d24.9067999!4d67.0724409!16s%2Fg%2F11gg64rv8v!19sChIJI73SgyE_sz4RlRcriP3QCXY?authuser=0&amp;hl=en&amp;g_ep=EgoyMDI2MDkyOC4wIJJjKgBIAVAD&amp;rclk=1", "📍 View Map")</f>
        <v/>
      </c>
    </row>
    <row r="71" ht="28" customHeight="1">
      <c r="A71" s="4" t="inlineStr">
        <is>
          <t>GF-KHI-068</t>
        </is>
      </c>
      <c r="B71" s="5" t="inlineStr">
        <is>
          <t>M-Fit</t>
        </is>
      </c>
      <c r="C71" s="4" t="inlineStr">
        <is>
          <t>Gulshan-e-Iqbal</t>
        </is>
      </c>
      <c r="D71" s="6" t="inlineStr">
        <is>
          <t>+92 319 0541709</t>
        </is>
      </c>
      <c r="E71" s="8">
        <f>HYPERLINK("https://wa.me/923190541709", "💬 Open WhatsApp")</f>
        <v/>
      </c>
      <c r="F71" s="4" t="n">
        <v>4.7</v>
      </c>
      <c r="G71" s="6" t="inlineStr">
        <is>
          <t>Tier 2 (High-Volume Mid-Market)</t>
        </is>
      </c>
      <c r="H71" s="7" t="inlineStr">
        <is>
          <t>1. Not Contacted</t>
        </is>
      </c>
      <c r="I71" s="6" t="inlineStr"/>
      <c r="J71" s="6" t="inlineStr">
        <is>
          <t>High member turnover &amp; unpaid fee leakage (15-25% dues delay). Pitch automated WhatsApp reminders and daily cash ledger.</t>
        </is>
      </c>
      <c r="K71" s="6" t="inlineStr">
        <is>
          <t>Eliminate Unpaid Member Dues with 3-Day Automated WhatsApp Payment Reminders</t>
        </is>
      </c>
      <c r="L71" s="6" t="inlineStr">
        <is>
          <t>Starter / Pro (Rs 3,500 - 7,500/mo)</t>
        </is>
      </c>
      <c r="M71" s="6" t="inlineStr">
        <is>
          <t>150 - 350 members</t>
        </is>
      </c>
      <c r="N71" s="6" t="inlineStr">
        <is>
          <t>Plot No 11, Callachi Cooperative Housing Society Block 10 A Gulshan-e-Iqbal, Karachi, 75300, Pakistan</t>
        </is>
      </c>
      <c r="O71" s="8">
        <f>HYPERLINK("https://www.google.com/maps/place/M-Fit/data=!4m7!3m6!1s0x3eb339080786097b:0xea1b5fa62600e73b!8m2!3d24.9054725!4d67.1046133!16s%2Fg%2F11s75ph9qw!19sChIJewmGBwg5sz4RO-cAJqZfG-o?authuser=0&amp;hl=en&amp;g_ep=EgoyMDI2MDkyOC4wIJJjKgBIAVAD&amp;rclk=1", "📍 View Map")</f>
        <v/>
      </c>
    </row>
    <row r="72" ht="28" customHeight="1">
      <c r="A72" s="4" t="inlineStr">
        <is>
          <t>GF-KHI-069</t>
        </is>
      </c>
      <c r="B72" s="5" t="inlineStr">
        <is>
          <t>Tricore Fitness</t>
        </is>
      </c>
      <c r="C72" s="4" t="inlineStr">
        <is>
          <t>Gulshan-e-Iqbal</t>
        </is>
      </c>
      <c r="D72" s="6" t="inlineStr">
        <is>
          <t>+92 311 1244409</t>
        </is>
      </c>
      <c r="E72" s="8">
        <f>HYPERLINK("https://wa.me/923111244409", "💬 Open WhatsApp")</f>
        <v/>
      </c>
      <c r="F72" s="4" t="n">
        <v>4.9</v>
      </c>
      <c r="G72" s="6" t="inlineStr">
        <is>
          <t>Tier 1 (Premium / Boutique)</t>
        </is>
      </c>
      <c r="H72" s="7" t="inlineStr">
        <is>
          <t>1. Not Contacted</t>
        </is>
      </c>
      <c r="I72" s="6" t="inlineStr"/>
      <c r="J72" s="6" t="inlineStr">
        <is>
          <t>High fee structure (Rs 8k - 25k/mo). Owners care about brand prestige, zero counter friction, and automated payment receipts.</t>
        </is>
      </c>
      <c r="K72" s="6" t="inlineStr">
        <is>
          <t>Automated WhatsApp Fee Receipts + Raast QR Instant Verification + Member Retention Dashboard</t>
        </is>
      </c>
      <c r="L72" s="6" t="inlineStr">
        <is>
          <t>Pro / Enterprise (Rs 7,500 - 15,000/mo)</t>
        </is>
      </c>
      <c r="M72" s="6" t="inlineStr">
        <is>
          <t>250 - 600 members</t>
        </is>
      </c>
      <c r="N72" s="6" t="inlineStr">
        <is>
          <t>A3, Gulshan-e-Jamal (Railway Colony) Block C Gulshan e Jamal, Karachi, 75850, Pakistan</t>
        </is>
      </c>
      <c r="O72" s="8">
        <f>HYPERLINK("https://www.google.com/maps/place/Tricore+Fitness/data=!4m7!3m6!1s0x3eb339004d615bf9:0xee5df8300706c4af!8m2!3d24.9010341!4d67.112156!16s%2Fg%2F11wqr46822!19sChIJ-VthTQA5sz4Rr8QGBzD4Xe4?authuser=0&amp;hl=en&amp;g_ep=EgoyMDI2MDkyOC4wIJJjKgBIAVAD&amp;rclk=1", "📍 View Map")</f>
        <v/>
      </c>
    </row>
    <row r="73" ht="28" customHeight="1">
      <c r="A73" s="4" t="inlineStr">
        <is>
          <t>GF-KHI-070</t>
        </is>
      </c>
      <c r="B73" s="5" t="inlineStr">
        <is>
          <t>Slimmers club</t>
        </is>
      </c>
      <c r="C73" s="4" t="inlineStr">
        <is>
          <t>Gulshan-e-Iqbal</t>
        </is>
      </c>
      <c r="D73" s="6" t="inlineStr">
        <is>
          <t>+92 333 2223981</t>
        </is>
      </c>
      <c r="E73" s="8">
        <f>HYPERLINK("https://wa.me/923332223981", "💬 Open WhatsApp")</f>
        <v/>
      </c>
      <c r="F73" s="4" t="n">
        <v>3.9</v>
      </c>
      <c r="G73" s="6" t="inlineStr">
        <is>
          <t>Tier 1 (Premium / Boutique)</t>
        </is>
      </c>
      <c r="H73" s="7" t="inlineStr">
        <is>
          <t>1. Not Contacted</t>
        </is>
      </c>
      <c r="I73" s="6" t="inlineStr"/>
      <c r="J73" s="6" t="inlineStr">
        <is>
          <t>High fee structure (Rs 8k - 25k/mo). Owners care about brand prestige, zero counter friction, and automated payment receipts.</t>
        </is>
      </c>
      <c r="K73" s="6" t="inlineStr">
        <is>
          <t>Automated WhatsApp Fee Receipts + Raast QR Instant Verification + Member Retention Dashboard</t>
        </is>
      </c>
      <c r="L73" s="6" t="inlineStr">
        <is>
          <t>Pro / Enterprise (Rs 7,500 - 15,000/mo)</t>
        </is>
      </c>
      <c r="M73" s="6" t="inlineStr">
        <is>
          <t>250 - 600 members</t>
        </is>
      </c>
      <c r="N73" s="6" t="inlineStr">
        <is>
          <t>B-27 Sardar Ali Sabri Rd, Block 5 Gulshan-e-Iqbal, Karachi, 75300, Pakistan</t>
        </is>
      </c>
      <c r="O73" s="8">
        <f>HYPERLINK("https://www.google.com/maps/place/Slimmers+club/data=!4m7!3m6!1s0x3eb33f33a12fcc81:0xbcf9928619e6877e!8m2!3d24.9189573!4d67.0911415!16s%2Fg%2F11g8c_dpd6!19sChIJgcwvoTM_sz4RfofmGYaS-bw?authuser=0&amp;hl=en&amp;g_ep=EgoyMDI2MDkyOC4wIJJjKgBIAVAD&amp;rclk=1", "📍 View Map")</f>
        <v/>
      </c>
    </row>
    <row r="74" ht="28" customHeight="1">
      <c r="A74" s="4" t="inlineStr">
        <is>
          <t>GF-KHI-071</t>
        </is>
      </c>
      <c r="B74" s="5" t="inlineStr">
        <is>
          <t>KRAVO Fitness Studio</t>
        </is>
      </c>
      <c r="C74" s="4" t="inlineStr">
        <is>
          <t>PECHS</t>
        </is>
      </c>
      <c r="D74" s="6" t="inlineStr">
        <is>
          <t>+92 336 8267316</t>
        </is>
      </c>
      <c r="E74" s="8">
        <f>HYPERLINK("https://wa.me/923368267316", "💬 Open WhatsApp")</f>
        <v/>
      </c>
      <c r="F74" s="4" t="n">
        <v>4.9</v>
      </c>
      <c r="G74" s="6" t="inlineStr">
        <is>
          <t>Tier 1 (Premium / Boutique)</t>
        </is>
      </c>
      <c r="H74" s="7" t="inlineStr">
        <is>
          <t>1. Not Contacted</t>
        </is>
      </c>
      <c r="I74" s="6" t="inlineStr"/>
      <c r="J74" s="6" t="inlineStr">
        <is>
          <t>High fee structure (Rs 8k - 25k/mo). Owners care about brand prestige, zero counter friction, and automated payment receipts.</t>
        </is>
      </c>
      <c r="K74" s="6" t="inlineStr">
        <is>
          <t>Automated WhatsApp Fee Receipts + Raast QR Instant Verification + Member Retention Dashboard</t>
        </is>
      </c>
      <c r="L74" s="6" t="inlineStr">
        <is>
          <t>Pro / Enterprise (Rs 7,500 - 15,000/mo)</t>
        </is>
      </c>
      <c r="M74" s="6" t="inlineStr">
        <is>
          <t>250 - 600 members</t>
        </is>
      </c>
      <c r="N74" s="6" t="inlineStr">
        <is>
          <t>Shaheed-e-Millat Service Road, Cp &amp; Berar Chs, Karachi, 75300, Pakistan</t>
        </is>
      </c>
      <c r="O74" s="8">
        <f>HYPERLINK("https://www.google.com/maps/place/KRAVO+Fitness+Studio/data=!4m7!3m6!1s0x3eb33f15d6a2c665:0x75b0d782a673cb6b!8m2!3d24.8743507!4d67.0755179!16s%2Fg%2F11sv0z6dwt!19sChIJZcai1hU_sz4Ra8tzpoLXsHU?authuser=0&amp;hl=en&amp;g_ep=EgoyMDI2MDkyOC4wIJJjKgBIAVAD&amp;rclk=1", "📍 View Map")</f>
        <v/>
      </c>
    </row>
    <row r="75" ht="28" customHeight="1">
      <c r="A75" s="4" t="inlineStr">
        <is>
          <t>GF-KHI-072</t>
        </is>
      </c>
      <c r="B75" s="5" t="inlineStr">
        <is>
          <t>Center of Gravity Gym</t>
        </is>
      </c>
      <c r="C75" s="4" t="inlineStr">
        <is>
          <t>PECHS</t>
        </is>
      </c>
      <c r="D75" s="6" t="inlineStr">
        <is>
          <t>+92 21 38883406</t>
        </is>
      </c>
      <c r="E75" s="6" t="inlineStr">
        <is>
          <t>Landline / Call</t>
        </is>
      </c>
      <c r="F75" s="4" t="n">
        <v>4.5</v>
      </c>
      <c r="G75" s="6" t="inlineStr">
        <is>
          <t>Tier 2 (High-Volume Mid-Market)</t>
        </is>
      </c>
      <c r="H75" s="7" t="inlineStr">
        <is>
          <t>1. Not Contacted</t>
        </is>
      </c>
      <c r="I75" s="6" t="inlineStr"/>
      <c r="J75" s="6" t="inlineStr">
        <is>
          <t>High member turnover &amp; unpaid fee leakage (15-25% dues delay). Pitch automated WhatsApp reminders and daily cash ledger.</t>
        </is>
      </c>
      <c r="K75" s="6" t="inlineStr">
        <is>
          <t>Eliminate Unpaid Member Dues with 3-Day Automated WhatsApp Payment Reminders</t>
        </is>
      </c>
      <c r="L75" s="6" t="inlineStr">
        <is>
          <t>Starter / Pro (Rs 3,500 - 7,500/mo)</t>
        </is>
      </c>
      <c r="M75" s="6" t="inlineStr">
        <is>
          <t>150 - 350 members</t>
        </is>
      </c>
      <c r="N75" s="6" t="inlineStr">
        <is>
          <t>Mezzanine Floor, Happy Heights, 2 Shaheed-e-Millat Rd, Modern Society P.E.C.H.S., Karachi, 78400, Pakistan</t>
        </is>
      </c>
      <c r="O75" s="8">
        <f>HYPERLINK("https://www.google.com/maps/place/Center+of+Gravity+Gym/data=!4m7!3m6!1s0x3eb33f2a272c6e31:0x16ed258b390170d6!8m2!3d24.8815725!4d67.081158!16s%2Fg%2F11tmg2mq38!19sChIJMW4sJyo_sz4R1nABOYsl7RY?authuser=0&amp;hl=en&amp;g_ep=EgoyMDI2MDkyOC4wIJJjKgBIAVAD&amp;rclk=1", "📍 View Map")</f>
        <v/>
      </c>
    </row>
    <row r="76" ht="28" customHeight="1">
      <c r="A76" s="4" t="inlineStr">
        <is>
          <t>GF-KHI-073</t>
        </is>
      </c>
      <c r="B76" s="5" t="inlineStr">
        <is>
          <t>Strength Fitness</t>
        </is>
      </c>
      <c r="C76" s="4" t="inlineStr">
        <is>
          <t>PECHS</t>
        </is>
      </c>
      <c r="D76" s="6" t="inlineStr">
        <is>
          <t>+92 321 2241254</t>
        </is>
      </c>
      <c r="E76" s="8">
        <f>HYPERLINK("https://wa.me/923212241254", "💬 Open WhatsApp")</f>
        <v/>
      </c>
      <c r="F76" s="4" t="n">
        <v>5</v>
      </c>
      <c r="G76" s="6" t="inlineStr">
        <is>
          <t>Tier 2 (High-Volume Mid-Market)</t>
        </is>
      </c>
      <c r="H76" s="7" t="inlineStr">
        <is>
          <t>1. Not Contacted</t>
        </is>
      </c>
      <c r="I76" s="6" t="inlineStr"/>
      <c r="J76" s="6" t="inlineStr">
        <is>
          <t>High member turnover &amp; unpaid fee leakage (15-25% dues delay). Pitch automated WhatsApp reminders and daily cash ledger.</t>
        </is>
      </c>
      <c r="K76" s="6" t="inlineStr">
        <is>
          <t>Eliminate Unpaid Member Dues with 3-Day Automated WhatsApp Payment Reminders</t>
        </is>
      </c>
      <c r="L76" s="6" t="inlineStr">
        <is>
          <t>Starter / Pro (Rs 3,500 - 7,500/mo)</t>
        </is>
      </c>
      <c r="M76" s="6" t="inlineStr">
        <is>
          <t>150 - 350 members</t>
        </is>
      </c>
      <c r="N76" s="6" t="inlineStr">
        <is>
          <t>Mezzanine Floor, M5 &amp; M6 Plot No.6, Makki House, near Universal Book Shop, Bihar Muslim Society BMCHS Sharafabad, Karachi, 74100, Pakistan</t>
        </is>
      </c>
      <c r="O76" s="8">
        <f>HYPERLINK("https://www.google.com/maps/place/Strength+Fitness/data=!4m7!3m6!1s0x3eb33f52180d3e5f:0xab5956a0e9b9b2ae!8m2!3d24.8833613!4d67.0637468!16s%2Fg%2F11v9cg8cwh!19sChIJXz4NGFI_sz4RrrK56aBWWas?authuser=0&amp;hl=en&amp;g_ep=EgoyMDI2MDkyOC4wIJJjKgBIAVAD&amp;rclk=1", "📍 View Map")</f>
        <v/>
      </c>
    </row>
    <row r="77" ht="28" customHeight="1">
      <c r="A77" s="4" t="inlineStr">
        <is>
          <t>GF-KHI-074</t>
        </is>
      </c>
      <c r="B77" s="5" t="inlineStr">
        <is>
          <t>Bari Gym</t>
        </is>
      </c>
      <c r="C77" s="4" t="inlineStr">
        <is>
          <t>PECHS</t>
        </is>
      </c>
      <c r="D77" s="6" t="inlineStr">
        <is>
          <t>+92 304 1322224</t>
        </is>
      </c>
      <c r="E77" s="8">
        <f>HYPERLINK("https://wa.me/923041322224", "💬 Open WhatsApp")</f>
        <v/>
      </c>
      <c r="F77" s="4" t="n">
        <v>4.1</v>
      </c>
      <c r="G77" s="6" t="inlineStr">
        <is>
          <t>Tier 2 (High-Volume Mid-Market)</t>
        </is>
      </c>
      <c r="H77" s="7" t="inlineStr">
        <is>
          <t>1. Not Contacted</t>
        </is>
      </c>
      <c r="I77" s="6" t="inlineStr"/>
      <c r="J77" s="6" t="inlineStr">
        <is>
          <t>High member turnover &amp; unpaid fee leakage (15-25% dues delay). Pitch automated WhatsApp reminders and daily cash ledger.</t>
        </is>
      </c>
      <c r="K77" s="6" t="inlineStr">
        <is>
          <t>Eliminate Unpaid Member Dues with 3-Day Automated WhatsApp Payment Reminders</t>
        </is>
      </c>
      <c r="L77" s="6" t="inlineStr">
        <is>
          <t>Starter / Pro (Rs 3,500 - 7,500/mo)</t>
        </is>
      </c>
      <c r="M77" s="6" t="inlineStr">
        <is>
          <t>150 - 350 members</t>
        </is>
      </c>
      <c r="N77" s="6" t="inlineStr">
        <is>
          <t>V3C6+M5P, Block 2 P.E.C.H.S., Karachi, Pakistan</t>
        </is>
      </c>
      <c r="O77" s="8">
        <f>HYPERLINK("https://www.google.com/maps/place/Bari+Gym/data=!4m7!3m6!1s0x3eb33e9180d524f1:0x9fee65384b3f5c06!8m2!3d24.8717163!4d67.0604399!16s%2Fg%2F11c4xnwjyt!19sChIJ8STVgJE-sz4RBlw_Szhl7p8?authuser=0&amp;hl=en&amp;g_ep=EgoyMDI2MDkyOC4wIJJjKgBIAVAD&amp;rclk=1", "📍 View Map")</f>
        <v/>
      </c>
    </row>
    <row r="78" ht="28" customHeight="1">
      <c r="A78" s="4" t="inlineStr">
        <is>
          <t>GF-KHI-075</t>
        </is>
      </c>
      <c r="B78" s="5" t="inlineStr">
        <is>
          <t>Urban Fitness</t>
        </is>
      </c>
      <c r="C78" s="4" t="inlineStr">
        <is>
          <t>North Nazimabad</t>
        </is>
      </c>
      <c r="D78" s="6" t="inlineStr">
        <is>
          <t>+92 312 2282056</t>
        </is>
      </c>
      <c r="E78" s="8">
        <f>HYPERLINK("https://wa.me/923122282056", "💬 Open WhatsApp")</f>
        <v/>
      </c>
      <c r="F78" s="4" t="n">
        <v>4.7</v>
      </c>
      <c r="G78" s="6" t="inlineStr">
        <is>
          <t>Tier 2 (High-Volume Mid-Market)</t>
        </is>
      </c>
      <c r="H78" s="7" t="inlineStr">
        <is>
          <t>1. Not Contacted</t>
        </is>
      </c>
      <c r="I78" s="6" t="inlineStr"/>
      <c r="J78" s="6" t="inlineStr">
        <is>
          <t>High member turnover &amp; unpaid fee leakage (15-25% dues delay). Pitch automated WhatsApp reminders and daily cash ledger.</t>
        </is>
      </c>
      <c r="K78" s="6" t="inlineStr">
        <is>
          <t>Eliminate Unpaid Member Dues with 3-Day Automated WhatsApp Payment Reminders</t>
        </is>
      </c>
      <c r="L78" s="6" t="inlineStr">
        <is>
          <t>Starter / Pro (Rs 3,500 - 7,500/mo)</t>
        </is>
      </c>
      <c r="M78" s="6" t="inlineStr">
        <is>
          <t>150 - 350 members</t>
        </is>
      </c>
      <c r="N78" s="6" t="inlineStr">
        <is>
          <t>between 5 Star and, SB/53, Block 'K' North Nazimabad, next to Agha Khan Laboratory, Sakhi Hassan Block K Chowrangi, Karachi, 74700, Pakistan</t>
        </is>
      </c>
      <c r="O78" s="8">
        <f>HYPERLINK("https://www.google.com/maps/place/Urban+Fitness/data=!4m7!3m6!1s0x3eb3411334fd3d21:0xbf9e71d2295ceb87!8m2!3d24.9498828!4d67.0531151!16s%2Fg%2F11rmr6n271!19sChIJIT39NBNBsz4Rh-tcKdJxnr8?authuser=0&amp;hl=en&amp;g_ep=EgoyMDI2MDkyOC4wIJJjKgBIAVAD&amp;rclk=1", "📍 View Map")</f>
        <v/>
      </c>
    </row>
    <row r="79" ht="28" customHeight="1">
      <c r="A79" s="4" t="inlineStr">
        <is>
          <t>GF-KHI-076</t>
        </is>
      </c>
      <c r="B79" s="5" t="inlineStr">
        <is>
          <t>The Fitness Lab</t>
        </is>
      </c>
      <c r="C79" s="4" t="inlineStr">
        <is>
          <t>North Nazimabad</t>
        </is>
      </c>
      <c r="D79" s="6" t="inlineStr">
        <is>
          <t>+92 301 7859368</t>
        </is>
      </c>
      <c r="E79" s="8">
        <f>HYPERLINK("https://wa.me/923017859368", "💬 Open WhatsApp")</f>
        <v/>
      </c>
      <c r="F79" s="4" t="n">
        <v>4.9</v>
      </c>
      <c r="G79" s="6" t="inlineStr">
        <is>
          <t>Tier 2 (High-Volume Mid-Market)</t>
        </is>
      </c>
      <c r="H79" s="7" t="inlineStr">
        <is>
          <t>1. Not Contacted</t>
        </is>
      </c>
      <c r="I79" s="6" t="inlineStr"/>
      <c r="J79" s="6" t="inlineStr">
        <is>
          <t>High member turnover &amp; unpaid fee leakage (15-25% dues delay). Pitch automated WhatsApp reminders and daily cash ledger.</t>
        </is>
      </c>
      <c r="K79" s="6" t="inlineStr">
        <is>
          <t>Eliminate Unpaid Member Dues with 3-Day Automated WhatsApp Payment Reminders</t>
        </is>
      </c>
      <c r="L79" s="6" t="inlineStr">
        <is>
          <t>Starter / Pro (Rs 3,500 - 7,500/mo)</t>
        </is>
      </c>
      <c r="M79" s="6" t="inlineStr">
        <is>
          <t>150 - 350 members</t>
        </is>
      </c>
      <c r="N79" s="6" t="inlineStr">
        <is>
          <t>House number B, Fitness villa B.102, 102, Allama Iqbal Town Block W North Nazimabad Town, Karachi, 74600, Pakistan</t>
        </is>
      </c>
      <c r="O79" s="8">
        <f>HYPERLINK("https://www.google.com/maps/place/The+Fitness+Lab/data=!4m7!3m6!1s0x3eb341f73512bbe7:0xda44469f78659e11!8m2!3d24.9477356!4d67.0546971!16s%2Fg%2F11rc__67q0!19sChIJ57sSNfdBsz4REZ5leJ9GRNo?authuser=0&amp;hl=en&amp;g_ep=EgoyMDI2MDkyOC4wIJJjKgBIAVAD&amp;rclk=1", "📍 View Map")</f>
        <v/>
      </c>
    </row>
    <row r="80" ht="28" customHeight="1">
      <c r="A80" s="4" t="inlineStr">
        <is>
          <t>GF-KHI-077</t>
        </is>
      </c>
      <c r="B80" s="5" t="inlineStr">
        <is>
          <t>Get Smart Gym Madni Mall</t>
        </is>
      </c>
      <c r="C80" s="4" t="inlineStr">
        <is>
          <t>North Nazimabad</t>
        </is>
      </c>
      <c r="D80" s="6" t="inlineStr">
        <is>
          <t>+92 316 3028103</t>
        </is>
      </c>
      <c r="E80" s="8">
        <f>HYPERLINK("https://wa.me/923163028103", "💬 Open WhatsApp")</f>
        <v/>
      </c>
      <c r="F80" s="4" t="n">
        <v>4.4</v>
      </c>
      <c r="G80" s="6" t="inlineStr">
        <is>
          <t>Tier 2 (High-Volume Mid-Market)</t>
        </is>
      </c>
      <c r="H80" s="7" t="inlineStr">
        <is>
          <t>1. Not Contacted</t>
        </is>
      </c>
      <c r="I80" s="6" t="inlineStr"/>
      <c r="J80" s="6" t="inlineStr">
        <is>
          <t>High member turnover &amp; unpaid fee leakage (15-25% dues delay). Pitch automated WhatsApp reminders and daily cash ledger.</t>
        </is>
      </c>
      <c r="K80" s="6" t="inlineStr">
        <is>
          <t>Eliminate Unpaid Member Dues with 3-Day Automated WhatsApp Payment Reminders</t>
        </is>
      </c>
      <c r="L80" s="6" t="inlineStr">
        <is>
          <t>Starter / Pro (Rs 3,500 - 7,500/mo)</t>
        </is>
      </c>
      <c r="M80" s="6" t="inlineStr">
        <is>
          <t>150 - 350 members</t>
        </is>
      </c>
      <c r="N80" s="6" t="inlineStr">
        <is>
          <t>Block, Euro Hi-Tech Residency, F North, Block F Nazimabad, Karachi, 74600, Pakistan</t>
        </is>
      </c>
      <c r="O80" s="8">
        <f>HYPERLINK("https://www.google.com/maps/place/Get+Smart+Gym+Madni+Mall/data=!4m7!3m6!1s0x3eb33f52e3f1b44b:0x5f22b968c7102ce1!8m2!3d24.9360255!4d67.0427392!16s%2Fg%2F11fq_74637!19sChIJS7Tx41I_sz4R4SwQx2i5Il8?authuser=0&amp;hl=en&amp;g_ep=EgoyMDI2MDkyOC4wIJJjKgBIAVAD&amp;rclk=1", "📍 View Map")</f>
        <v/>
      </c>
    </row>
    <row r="81" ht="28" customHeight="1">
      <c r="A81" s="4" t="inlineStr">
        <is>
          <t>GF-KHI-078</t>
        </is>
      </c>
      <c r="B81" s="5" t="inlineStr">
        <is>
          <t>TORO FITNESS</t>
        </is>
      </c>
      <c r="C81" s="4" t="inlineStr">
        <is>
          <t>Gulistan-e-Johar</t>
        </is>
      </c>
      <c r="D81" s="6" t="inlineStr">
        <is>
          <t>+92 303 2813646</t>
        </is>
      </c>
      <c r="E81" s="8">
        <f>HYPERLINK("https://wa.me/923032813646", "💬 Open WhatsApp")</f>
        <v/>
      </c>
      <c r="F81" s="4" t="n">
        <v>4.4</v>
      </c>
      <c r="G81" s="6" t="inlineStr">
        <is>
          <t>Tier 3 (Local Community Gym)</t>
        </is>
      </c>
      <c r="H81" s="7" t="inlineStr">
        <is>
          <t>1. Not Contacted</t>
        </is>
      </c>
      <c r="I81" s="6" t="inlineStr"/>
      <c r="J81" s="6" t="inlineStr">
        <is>
          <t>Still using notebook/Excel register. Low tech barrier needed. Emphasize mobile-friendly Urdu/English interface and Rs 100/day cost.</t>
        </is>
      </c>
      <c r="K81" s="6" t="inlineStr">
        <is>
          <t>Replace Paper Register with 1-Click Mobile Member Entry &amp; Due Date SMS/WhatsApp</t>
        </is>
      </c>
      <c r="L81" s="6" t="inlineStr">
        <is>
          <t>Starter (Rs 2,500 - 3,500/mo)</t>
        </is>
      </c>
      <c r="M81" s="6" t="inlineStr">
        <is>
          <t>80 - 180 members</t>
        </is>
      </c>
      <c r="N81" s="6" t="inlineStr">
        <is>
          <t>house no A-6, Long Life Bungalows, Block 17 Gulistan-e-Johar, Karachi, 07599, Pakistan</t>
        </is>
      </c>
      <c r="O81" s="8">
        <f>HYPERLINK("https://www.google.com/maps/place/TORO+FITNESS/data=!4m7!3m6!1s0x3eb3398b5910de87:0xd4b7f1a1bcd222f2!8m2!3d24.9114539!4d67.1177766!16s%2Fg%2F11rtqc6h__!19sChIJh94QWYs5sz4R8iLSvKHxt9Q?authuser=0&amp;hl=en&amp;g_ep=EgoyMDI2MDkyOC4wIJJjKgBIAVAD&amp;rclk=1", "📍 View Map")</f>
        <v/>
      </c>
    </row>
    <row r="82" ht="28" customHeight="1">
      <c r="A82" s="4" t="inlineStr">
        <is>
          <t>GF-KHI-079</t>
        </is>
      </c>
      <c r="B82" s="5" t="inlineStr">
        <is>
          <t>Cyclone Fitness+</t>
        </is>
      </c>
      <c r="C82" s="4" t="inlineStr">
        <is>
          <t>Bahadurabad</t>
        </is>
      </c>
      <c r="D82" s="6" t="inlineStr">
        <is>
          <t>+92 340 4860000</t>
        </is>
      </c>
      <c r="E82" s="8">
        <f>HYPERLINK("https://wa.me/923404860000", "💬 Open WhatsApp")</f>
        <v/>
      </c>
      <c r="F82" s="4" t="n">
        <v>4.5</v>
      </c>
      <c r="G82" s="6" t="inlineStr">
        <is>
          <t>Tier 2 (High-Volume Mid-Market)</t>
        </is>
      </c>
      <c r="H82" s="7" t="inlineStr">
        <is>
          <t>1. Not Contacted</t>
        </is>
      </c>
      <c r="I82" s="6" t="inlineStr"/>
      <c r="J82" s="6" t="inlineStr">
        <is>
          <t>High member turnover &amp; unpaid fee leakage (15-25% dues delay). Pitch automated WhatsApp reminders and daily cash ledger.</t>
        </is>
      </c>
      <c r="K82" s="6" t="inlineStr">
        <is>
          <t>Eliminate Unpaid Member Dues with 3-Day Automated WhatsApp Payment Reminders</t>
        </is>
      </c>
      <c r="L82" s="6" t="inlineStr">
        <is>
          <t>Starter / Pro (Rs 3,500 - 7,500/mo)</t>
        </is>
      </c>
      <c r="M82" s="6" t="inlineStr">
        <is>
          <t>150 - 350 members</t>
        </is>
      </c>
      <c r="N82" s="6" t="inlineStr">
        <is>
          <t>V3H8+Q6G, Shaheed-e-Millat Rd, Bahadurabad Bahadur Yar Jang CHS, Karachi, Pakistan</t>
        </is>
      </c>
      <c r="O82" s="8">
        <f>HYPERLINK("https://www.google.com/maps/place/Cyclone+Fitness%2B/data=!4m7!3m6!1s0x3eb33f0076d69e91:0x2fe482da6faf0742!8m2!3d24.8795471!4d67.0657976!16s%2Fg%2F11y4zwyrwm!19sChIJkZ7WdgA_sz4RQgevb9qC5C8?authuser=0&amp;hl=en&amp;g_ep=EgoyMDI2MDkyOC4wIJJjKgBIAVAD&amp;rclk=1", "📍 View Map")</f>
        <v/>
      </c>
    </row>
    <row r="83" ht="28" customHeight="1">
      <c r="A83" s="4" t="inlineStr">
        <is>
          <t>GF-KHI-080</t>
        </is>
      </c>
      <c r="B83" s="5" t="inlineStr">
        <is>
          <t>K-Town Fitness Club</t>
        </is>
      </c>
      <c r="C83" s="4" t="inlineStr">
        <is>
          <t>Bahadurabad</t>
        </is>
      </c>
      <c r="D83" s="6" t="inlineStr">
        <is>
          <t>+92 334 2326811</t>
        </is>
      </c>
      <c r="E83" s="8">
        <f>HYPERLINK("https://wa.me/923342326811", "💬 Open WhatsApp")</f>
        <v/>
      </c>
      <c r="F83" s="4" t="n">
        <v>4.7</v>
      </c>
      <c r="G83" s="6" t="inlineStr">
        <is>
          <t>Tier 1 (Premium / Boutique)</t>
        </is>
      </c>
      <c r="H83" s="7" t="inlineStr">
        <is>
          <t>1. Not Contacted</t>
        </is>
      </c>
      <c r="I83" s="6" t="inlineStr"/>
      <c r="J83" s="6" t="inlineStr">
        <is>
          <t>High fee structure (Rs 8k - 25k/mo). Owners care about brand prestige, zero counter friction, and automated payment receipts.</t>
        </is>
      </c>
      <c r="K83" s="6" t="inlineStr">
        <is>
          <t>Automated WhatsApp Fee Receipts + Raast QR Instant Verification + Member Retention Dashboard</t>
        </is>
      </c>
      <c r="L83" s="6" t="inlineStr">
        <is>
          <t>Pro / Enterprise (Rs 7,500 - 15,000/mo)</t>
        </is>
      </c>
      <c r="M83" s="6" t="inlineStr">
        <is>
          <t>250 - 600 members</t>
        </is>
      </c>
      <c r="N83" s="6" t="inlineStr">
        <is>
          <t>M9 mezzanine floor, Westland apartment, Alamgir Rd, Bahadurabad Bahadur Yar Jang CHS, Karachi, Pakistan</t>
        </is>
      </c>
      <c r="O83" s="8">
        <f>HYPERLINK("https://www.google.com/maps/place/K-Town+Fitness+Club/data=!4m7!3m6!1s0x3eb33ff8d02ef231:0x145d5fa26ea532e4!8m2!3d24.8804498!4d67.0704582!16s%2Fg%2F11vsbjjzl7!19sChIJMfIu0Pg_sz4R5DKlbqJfXRQ?authuser=0&amp;hl=en&amp;g_ep=EgoyMDI2MDkyOC4wIJJjKgBIAVAD&amp;rclk=1", "📍 View Map")</f>
        <v/>
      </c>
    </row>
    <row r="84" ht="28" customHeight="1">
      <c r="A84" s="4" t="inlineStr">
        <is>
          <t>GF-KHI-081</t>
        </is>
      </c>
      <c r="B84" s="5" t="inlineStr">
        <is>
          <t>Prefect Life (Bahaurabad Center)</t>
        </is>
      </c>
      <c r="C84" s="4" t="inlineStr">
        <is>
          <t>Bahadurabad</t>
        </is>
      </c>
      <c r="D84" s="6" t="inlineStr">
        <is>
          <t>+92 335 7373328</t>
        </is>
      </c>
      <c r="E84" s="8">
        <f>HYPERLINK("https://wa.me/923357373328", "💬 Open WhatsApp")</f>
        <v/>
      </c>
      <c r="F84" s="4" t="n">
        <v>4.8</v>
      </c>
      <c r="G84" s="6" t="inlineStr">
        <is>
          <t>Tier 2 (High-Volume Mid-Market)</t>
        </is>
      </c>
      <c r="H84" s="7" t="inlineStr">
        <is>
          <t>1. Not Contacted</t>
        </is>
      </c>
      <c r="I84" s="6" t="inlineStr"/>
      <c r="J84" s="6" t="inlineStr">
        <is>
          <t>High member turnover &amp; unpaid fee leakage (15-25% dues delay). Pitch automated WhatsApp reminders and daily cash ledger.</t>
        </is>
      </c>
      <c r="K84" s="6" t="inlineStr">
        <is>
          <t>Eliminate Unpaid Member Dues with 3-Day Automated WhatsApp Payment Reminders</t>
        </is>
      </c>
      <c r="L84" s="6" t="inlineStr">
        <is>
          <t>Starter / Pro (Rs 3,500 - 7,500/mo)</t>
        </is>
      </c>
      <c r="M84" s="6" t="inlineStr">
        <is>
          <t>150 - 350 members</t>
        </is>
      </c>
      <c r="N84" s="6" t="inlineStr">
        <is>
          <t>159 Siraj-ud-Daulah Rd, Bahadurabad Khokan CHS, Karachi, Pakistan</t>
        </is>
      </c>
      <c r="O84" s="8">
        <f>HYPERLINK("https://www.google.com/maps/place/Prefect+Life+%28Bahaurabad+Center%29/data=!4m7!3m6!1s0x3eb33ec18348e007:0x529c33cfe77ec6c1!8m2!3d24.8840886!4d67.0729654!16s%2Fg%2F11g9m8wqhj!19sChIJB-BIg8E-sz4RwcZ-588znFI?authuser=0&amp;hl=en&amp;g_ep=EgoyMDI2MDkyOC4wIJJjKgBIAVAD&amp;rclk=1", "📍 View Map")</f>
        <v/>
      </c>
    </row>
    <row r="85" ht="28" customHeight="1">
      <c r="A85" s="4" t="inlineStr">
        <is>
          <t>GF-KHI-082</t>
        </is>
      </c>
      <c r="B85" s="5" t="inlineStr">
        <is>
          <t>Abid Gym Fitness Zone</t>
        </is>
      </c>
      <c r="C85" s="4" t="inlineStr">
        <is>
          <t>Bahadurabad</t>
        </is>
      </c>
      <c r="D85" s="6" t="inlineStr">
        <is>
          <t>+92 331 6320766</t>
        </is>
      </c>
      <c r="E85" s="8">
        <f>HYPERLINK("https://wa.me/923316320766", "💬 Open WhatsApp")</f>
        <v/>
      </c>
      <c r="F85" s="4" t="n">
        <v>4.6</v>
      </c>
      <c r="G85" s="6" t="inlineStr">
        <is>
          <t>Tier 2 (High-Volume Mid-Market)</t>
        </is>
      </c>
      <c r="H85" s="7" t="inlineStr">
        <is>
          <t>1. Not Contacted</t>
        </is>
      </c>
      <c r="I85" s="6" t="inlineStr"/>
      <c r="J85" s="6" t="inlineStr">
        <is>
          <t>High member turnover &amp; unpaid fee leakage (15-25% dues delay). Pitch automated WhatsApp reminders and daily cash ledger.</t>
        </is>
      </c>
      <c r="K85" s="6" t="inlineStr">
        <is>
          <t>Eliminate Unpaid Member Dues with 3-Day Automated WhatsApp Payment Reminders</t>
        </is>
      </c>
      <c r="L85" s="6" t="inlineStr">
        <is>
          <t>Starter / Pro (Rs 3,500 - 7,500/mo)</t>
        </is>
      </c>
      <c r="M85" s="6" t="inlineStr">
        <is>
          <t>150 - 350 members</t>
        </is>
      </c>
      <c r="N85" s="6" t="inlineStr">
        <is>
          <t>Shop#7, near Grappetite Chowrangi, Bihar Muslim Society Bahadurabad, Karachi, 74800, Pakistan</t>
        </is>
      </c>
      <c r="O85" s="8">
        <f>HYPERLINK("https://www.google.com/maps/place/Abid+Gym+Fitness+Zone/data=!4m7!3m6!1s0x3eb33eea6db6f729:0xb66235e512b182ba!8m2!3d24.8843179!4d67.0643154!16s%2Fg%2F11b7vyj229!19sChIJKfe2beo-sz4RuoKxEuU1YrY?authuser=0&amp;hl=en&amp;g_ep=EgoyMDI2MDkyOC4wIJJjKgBIAVAD&amp;rclk=1", "📍 View Map")</f>
        <v/>
      </c>
    </row>
    <row r="86" ht="28" customHeight="1">
      <c r="A86" s="4" t="inlineStr">
        <is>
          <t>GF-KHI-083</t>
        </is>
      </c>
      <c r="B86" s="5" t="inlineStr">
        <is>
          <t>Delta Fitness</t>
        </is>
      </c>
      <c r="C86" s="4" t="inlineStr">
        <is>
          <t>PECHS</t>
        </is>
      </c>
      <c r="D86" s="6" t="inlineStr">
        <is>
          <t>+92 311 1133582</t>
        </is>
      </c>
      <c r="E86" s="8">
        <f>HYPERLINK("https://wa.me/923111133582", "💬 Open WhatsApp")</f>
        <v/>
      </c>
      <c r="F86" s="4" t="n">
        <v>4.6</v>
      </c>
      <c r="G86" s="6" t="inlineStr">
        <is>
          <t>Tier 2 (High-Volume Mid-Market)</t>
        </is>
      </c>
      <c r="H86" s="7" t="inlineStr">
        <is>
          <t>1. Not Contacted</t>
        </is>
      </c>
      <c r="I86" s="6" t="inlineStr"/>
      <c r="J86" s="6" t="inlineStr">
        <is>
          <t>High member turnover &amp; unpaid fee leakage (15-25% dues delay). Pitch automated WhatsApp reminders and daily cash ledger.</t>
        </is>
      </c>
      <c r="K86" s="6" t="inlineStr">
        <is>
          <t>Eliminate Unpaid Member Dues with 3-Day Automated WhatsApp Payment Reminders</t>
        </is>
      </c>
      <c r="L86" s="6" t="inlineStr">
        <is>
          <t>Starter / Pro (Rs 3,500 - 7,500/mo)</t>
        </is>
      </c>
      <c r="M86" s="6" t="inlineStr">
        <is>
          <t>150 - 350 members</t>
        </is>
      </c>
      <c r="N86" s="6" t="inlineStr">
        <is>
          <t>124, G Block 2 Block 2 P.E.C.H.S., Karachi, Pakistan</t>
        </is>
      </c>
      <c r="O86" s="8">
        <f>HYPERLINK("https://www.google.com/maps/place/Delta+Fitness/data=!4m7!3m6!1s0x3eb33f4e10043103:0x81c46fc64dc50545!8m2!3d24.8677282!4d67.0570815!16s%2Fg%2F11w37h9rmg!19sChIJAzEEEE4_sz4RRQXFTcZvxIE?authuser=0&amp;hl=en&amp;g_ep=EgoyMDI2MDkyOC4wIJJjKgBIAVAD&amp;rclk=1", "📍 View Map")</f>
        <v/>
      </c>
    </row>
    <row r="87" ht="28" customHeight="1">
      <c r="A87" s="4" t="inlineStr">
        <is>
          <t>GF-KHI-084</t>
        </is>
      </c>
      <c r="B87" s="5" t="inlineStr">
        <is>
          <t>Fit &amp; Fight Gym and Boxing Club</t>
        </is>
      </c>
      <c r="C87" s="4" t="inlineStr">
        <is>
          <t>Bahadurabad</t>
        </is>
      </c>
      <c r="D87" s="6" t="inlineStr">
        <is>
          <t>+92 340 2298003</t>
        </is>
      </c>
      <c r="E87" s="8">
        <f>HYPERLINK("https://wa.me/923402298003", "💬 Open WhatsApp")</f>
        <v/>
      </c>
      <c r="F87" s="4" t="n">
        <v>4.1</v>
      </c>
      <c r="G87" s="6" t="inlineStr">
        <is>
          <t>Tier 1 (Premium / Boutique)</t>
        </is>
      </c>
      <c r="H87" s="7" t="inlineStr">
        <is>
          <t>1. Not Contacted</t>
        </is>
      </c>
      <c r="I87" s="6" t="inlineStr"/>
      <c r="J87" s="6" t="inlineStr">
        <is>
          <t>High fee structure (Rs 8k - 25k/mo). Owners care about brand prestige, zero counter friction, and automated payment receipts.</t>
        </is>
      </c>
      <c r="K87" s="6" t="inlineStr">
        <is>
          <t>Automated WhatsApp Fee Receipts + Raast QR Instant Verification + Member Retention Dashboard</t>
        </is>
      </c>
      <c r="L87" s="6" t="inlineStr">
        <is>
          <t>Pro / Enterprise (Rs 7,500 - 15,000/mo)</t>
        </is>
      </c>
      <c r="M87" s="6" t="inlineStr">
        <is>
          <t>250 - 600 members</t>
        </is>
      </c>
      <c r="N87" s="6" t="inlineStr">
        <is>
          <t>Bahadurabad BMCHS Sharafabad, Karachi, Pakistan</t>
        </is>
      </c>
      <c r="O87" s="8">
        <f>HYPERLINK("https://www.google.com/maps/place/Fit+%26+Fight+Gym+and+Boxing+Club/data=!4m7!3m6!1s0x3eb33f0bea778ffd:0x848db09cbf92c5bf!8m2!3d24.8811355!4d67.0641813!16s%2Fg%2F11fqpqqnnv!19sChIJ_Y936gs_sz4Rv8WSv5ywjYQ?authuser=0&amp;hl=en&amp;g_ep=EgoyMDI2MDkyOC4wIJJjKgBIAVAD&amp;rclk=1", "📍 View Map")</f>
        <v/>
      </c>
    </row>
    <row r="88" ht="28" customHeight="1">
      <c r="A88" s="4" t="inlineStr">
        <is>
          <t>GF-KHI-085</t>
        </is>
      </c>
      <c r="B88" s="5" t="inlineStr">
        <is>
          <t>Fit &amp; Flex Gym</t>
        </is>
      </c>
      <c r="C88" s="4" t="inlineStr">
        <is>
          <t>Tariq Road</t>
        </is>
      </c>
      <c r="D88" s="6" t="inlineStr">
        <is>
          <t>+92 313 3867743</t>
        </is>
      </c>
      <c r="E88" s="8">
        <f>HYPERLINK("https://wa.me/923133867743", "💬 Open WhatsApp")</f>
        <v/>
      </c>
      <c r="F88" s="4" t="n">
        <v>4.6</v>
      </c>
      <c r="G88" s="6" t="inlineStr">
        <is>
          <t>Tier 2 (High-Volume Mid-Market)</t>
        </is>
      </c>
      <c r="H88" s="7" t="inlineStr">
        <is>
          <t>1. Not Contacted</t>
        </is>
      </c>
      <c r="I88" s="6" t="inlineStr"/>
      <c r="J88" s="6" t="inlineStr">
        <is>
          <t>High member turnover &amp; unpaid fee leakage (15-25% dues delay). Pitch automated WhatsApp reminders and daily cash ledger.</t>
        </is>
      </c>
      <c r="K88" s="6" t="inlineStr">
        <is>
          <t>Eliminate Unpaid Member Dues with 3-Day Automated WhatsApp Payment Reminders</t>
        </is>
      </c>
      <c r="L88" s="6" t="inlineStr">
        <is>
          <t>Starter / Pro (Rs 3,500 - 7,500/mo)</t>
        </is>
      </c>
      <c r="M88" s="6" t="inlineStr">
        <is>
          <t>150 - 350 members</t>
        </is>
      </c>
      <c r="N88" s="6" t="inlineStr">
        <is>
          <t>Plot 28 A, Sindhi Muslim Cooperative Housing Society Block A Sindhi Muslim CHS (SMCHS), Karachi, Pakistan</t>
        </is>
      </c>
      <c r="O88" s="8">
        <f>HYPERLINK("https://www.google.com/maps/place/Fit+%26+Flex+Gym/data=!4m7!3m6!1s0x3eb33fdf3375ea53:0x5f5bd1b730fcd0e9!8m2!3d24.8822566!4d67.0450715!16s%2Fg%2F11y0ykq8gh!19sChIJU-p1M98_sz4R6dD8MLfRW18?authuser=0&amp;hl=en&amp;g_ep=EgoyMDI2MDkyOC4wIJJjKgBIAVAD&amp;rclk=1", "📍 View Map")</f>
        <v/>
      </c>
    </row>
    <row r="89" ht="28" customHeight="1">
      <c r="A89" s="4" t="inlineStr">
        <is>
          <t>GF-KHI-086</t>
        </is>
      </c>
      <c r="B89" s="5" t="inlineStr">
        <is>
          <t>Iron beast</t>
        </is>
      </c>
      <c r="C89" s="4" t="inlineStr">
        <is>
          <t>Shahrah-e-Faisal</t>
        </is>
      </c>
      <c r="D89" s="6" t="inlineStr">
        <is>
          <t>+92 320 2229996</t>
        </is>
      </c>
      <c r="E89" s="8">
        <f>HYPERLINK("https://wa.me/923202229996", "💬 Open WhatsApp")</f>
        <v/>
      </c>
      <c r="F89" s="4" t="n">
        <v>5</v>
      </c>
      <c r="G89" s="6" t="inlineStr">
        <is>
          <t>Tier 3 (Local Community Gym)</t>
        </is>
      </c>
      <c r="H89" s="7" t="inlineStr">
        <is>
          <t>1. Not Contacted</t>
        </is>
      </c>
      <c r="I89" s="6" t="inlineStr"/>
      <c r="J89" s="6" t="inlineStr">
        <is>
          <t>Still using notebook/Excel register. Low tech barrier needed. Emphasize mobile-friendly Urdu/English interface and Rs 100/day cost.</t>
        </is>
      </c>
      <c r="K89" s="6" t="inlineStr">
        <is>
          <t>Replace Paper Register with 1-Click Mobile Member Entry &amp; Due Date SMS/WhatsApp</t>
        </is>
      </c>
      <c r="L89" s="6" t="inlineStr">
        <is>
          <t>Starter (Rs 2,500 - 3,500/mo)</t>
        </is>
      </c>
      <c r="M89" s="6" t="inlineStr">
        <is>
          <t>80 - 180 members</t>
        </is>
      </c>
      <c r="N89" s="6" t="inlineStr">
        <is>
          <t>Roof top, 32 F Muhammad Ali Chs (Machs), Karachi, Pakistan</t>
        </is>
      </c>
      <c r="O89" s="8">
        <f>HYPERLINK("https://www.google.com/maps/place/Iron+beast/data=!4m7!3m6!1s0x3eb33f00286766c3:0xae93ad00b4228b44!8m2!3d24.8756087!4d67.0881132!16s%2Fg%2F11mf4vl78s!19sChIJw2ZnKAA_sz4RRIsitACtk64?authuser=0&amp;hl=en&amp;g_ep=EgoyMDI2MDkyOC4wIJJjKgBIAVAD&amp;rclk=1", "📍 View Map")</f>
        <v/>
      </c>
    </row>
    <row r="90" ht="28" customHeight="1">
      <c r="A90" s="4" t="inlineStr">
        <is>
          <t>GF-KHI-087</t>
        </is>
      </c>
      <c r="B90" s="5" t="inlineStr">
        <is>
          <t>Creed Fitness</t>
        </is>
      </c>
      <c r="C90" s="4" t="inlineStr">
        <is>
          <t>Malir Cantt</t>
        </is>
      </c>
      <c r="D90" s="6" t="inlineStr">
        <is>
          <t>+92 302 2658153</t>
        </is>
      </c>
      <c r="E90" s="8">
        <f>HYPERLINK("https://wa.me/923022658153", "💬 Open WhatsApp")</f>
        <v/>
      </c>
      <c r="F90" s="4" t="n">
        <v>4.3</v>
      </c>
      <c r="G90" s="6" t="inlineStr">
        <is>
          <t>Tier 3 (Local Community Gym)</t>
        </is>
      </c>
      <c r="H90" s="7" t="inlineStr">
        <is>
          <t>1. Not Contacted</t>
        </is>
      </c>
      <c r="I90" s="6" t="inlineStr"/>
      <c r="J90" s="6" t="inlineStr">
        <is>
          <t>Still using notebook/Excel register. Low tech barrier needed. Emphasize mobile-friendly Urdu/English interface and Rs 100/day cost.</t>
        </is>
      </c>
      <c r="K90" s="6" t="inlineStr">
        <is>
          <t>Replace Paper Register with 1-Click Mobile Member Entry &amp; Due Date SMS/WhatsApp</t>
        </is>
      </c>
      <c r="L90" s="6" t="inlineStr">
        <is>
          <t>Starter (Rs 2,500 - 3,500/mo)</t>
        </is>
      </c>
      <c r="M90" s="6" t="inlineStr">
        <is>
          <t>80 - 180 members</t>
        </is>
      </c>
      <c r="N90" s="6" t="inlineStr">
        <is>
          <t>Falcon Street, Malir Cantonment, Karachi, Pakistan</t>
        </is>
      </c>
      <c r="O90" s="8">
        <f>HYPERLINK("https://www.google.com/maps/place/Creed+Fitness/data=!4m7!3m6!1s0x3eb33769a8b0b04d:0x800fb079161078cc!8m2!3d24.9468727!4d67.213476!16s%2Fg%2F11rdb9yvzx!19sChIJTbCwqGk3sz4RzHgQFnmwD4A?authuser=0&amp;hl=en&amp;g_ep=EgoyMDI2MDkyOC4wIJJjKgBIAVAD&amp;rclk=1", "📍 View Map")</f>
        <v/>
      </c>
    </row>
    <row r="91" ht="28" customHeight="1">
      <c r="A91" s="4" t="inlineStr">
        <is>
          <t>GF-KHI-088</t>
        </is>
      </c>
      <c r="B91" s="5" t="inlineStr">
        <is>
          <t>The Gymtrek Gym</t>
        </is>
      </c>
      <c r="C91" s="4" t="inlineStr">
        <is>
          <t>Malir Cantt</t>
        </is>
      </c>
      <c r="D91" s="6" t="inlineStr">
        <is>
          <t>+92 332 2732838</t>
        </is>
      </c>
      <c r="E91" s="8">
        <f>HYPERLINK("https://wa.me/923322732838", "💬 Open WhatsApp")</f>
        <v/>
      </c>
      <c r="F91" s="4" t="n">
        <v>4.8</v>
      </c>
      <c r="G91" s="6" t="inlineStr">
        <is>
          <t>Tier 3 (Local Community Gym)</t>
        </is>
      </c>
      <c r="H91" s="7" t="inlineStr">
        <is>
          <t>1. Not Contacted</t>
        </is>
      </c>
      <c r="I91" s="6" t="inlineStr"/>
      <c r="J91" s="6" t="inlineStr">
        <is>
          <t>Still using notebook/Excel register. Low tech barrier needed. Emphasize mobile-friendly Urdu/English interface and Rs 100/day cost.</t>
        </is>
      </c>
      <c r="K91" s="6" t="inlineStr">
        <is>
          <t>Replace Paper Register with 1-Click Mobile Member Entry &amp; Due Date SMS/WhatsApp</t>
        </is>
      </c>
      <c r="L91" s="6" t="inlineStr">
        <is>
          <t>Starter (Rs 2,500 - 3,500/mo)</t>
        </is>
      </c>
      <c r="M91" s="6" t="inlineStr">
        <is>
          <t>80 - 180 members</t>
        </is>
      </c>
      <c r="N91" s="6" t="inlineStr">
        <is>
          <t>The Gymtrek Gym, A9 Indus Mehran, Malir Cantonment, Karachi, 75080, Pakistan</t>
        </is>
      </c>
      <c r="O91" s="8">
        <f>HYPERLINK("https://www.google.com/maps/place/The+Gymtrek+Gym/data=!4m7!3m6!1s0x3eb339b731590f4f:0xfad9cdb5a2530955!8m2!3d24.9014511!4d67.2019827!16s%2Fg%2F11trg8vmp7!19sChIJTw9ZMbc5sz4RVQlTorXN2fo?authuser=0&amp;hl=en&amp;g_ep=EgoyMDI2MDkyOC4wIJJjKgBIAVAD&amp;rclk=1", "📍 View Map")</f>
        <v/>
      </c>
    </row>
    <row r="92" ht="28" customHeight="1">
      <c r="A92" s="4" t="inlineStr">
        <is>
          <t>GF-KHI-089</t>
        </is>
      </c>
      <c r="B92" s="5" t="inlineStr">
        <is>
          <t>CoreFit Gym &amp; Fitness Center For Ladies &amp; Gents</t>
        </is>
      </c>
      <c r="C92" s="4" t="inlineStr">
        <is>
          <t>Malir</t>
        </is>
      </c>
      <c r="D92" s="6" t="inlineStr">
        <is>
          <t>+92 370 0119895</t>
        </is>
      </c>
      <c r="E92" s="8">
        <f>HYPERLINK("https://wa.me/923700119895", "💬 Open WhatsApp")</f>
        <v/>
      </c>
      <c r="F92" s="4" t="n">
        <v>4.4</v>
      </c>
      <c r="G92" s="6" t="inlineStr">
        <is>
          <t>Tier 1 (Premium / Boutique)</t>
        </is>
      </c>
      <c r="H92" s="7" t="inlineStr">
        <is>
          <t>1. Not Contacted</t>
        </is>
      </c>
      <c r="I92" s="6" t="inlineStr"/>
      <c r="J92" s="6" t="inlineStr">
        <is>
          <t>High fee structure (Rs 8k - 25k/mo). Owners care about brand prestige, zero counter friction, and automated payment receipts.</t>
        </is>
      </c>
      <c r="K92" s="6" t="inlineStr">
        <is>
          <t>Automated WhatsApp Fee Receipts + Raast QR Instant Verification + Member Retention Dashboard</t>
        </is>
      </c>
      <c r="L92" s="6" t="inlineStr">
        <is>
          <t>Pro / Enterprise (Rs 7,500 - 15,000/mo)</t>
        </is>
      </c>
      <c r="M92" s="6" t="inlineStr">
        <is>
          <t>250 - 600 members</t>
        </is>
      </c>
      <c r="N92" s="6" t="inlineStr">
        <is>
          <t>closed to Comoda, 307 Malir, S-1 Saudabad S1 Saudabad, Karachi, 75080, Pakistan</t>
        </is>
      </c>
      <c r="O92" s="8">
        <f>HYPERLINK("https://www.google.com/maps/place/CoreFit+Gym+%26+Fitness+Center+For+Ladies+%26+Gents/data=!4m7!3m6!1s0x3eb337004c1028e5:0xa8ef85fb667e0e27!8m2!3d24.902521!4d67.1973831!16s%2Fg%2F11x7j_ctws!19sChIJ5SgQTAA3sz4RJw5-ZvuF76g?authuser=0&amp;hl=en&amp;g_ep=EgoyMDI2MDkyOC4wIJJjKgBIAVAD&amp;rclk=1", "📍 View Map")</f>
        <v/>
      </c>
    </row>
    <row r="93" ht="28" customHeight="1">
      <c r="A93" s="4" t="inlineStr">
        <is>
          <t>GF-KHI-090</t>
        </is>
      </c>
      <c r="B93" s="5" t="inlineStr">
        <is>
          <t>Core Craft</t>
        </is>
      </c>
      <c r="C93" s="4" t="inlineStr">
        <is>
          <t>Malir Cantt</t>
        </is>
      </c>
      <c r="D93" s="6" t="inlineStr">
        <is>
          <t>+92 314 1153330</t>
        </is>
      </c>
      <c r="E93" s="8">
        <f>HYPERLINK("https://wa.me/923141153330", "💬 Open WhatsApp")</f>
        <v/>
      </c>
      <c r="F93" s="4" t="n">
        <v>4.7</v>
      </c>
      <c r="G93" s="6" t="inlineStr">
        <is>
          <t>Tier 1 (Premium / Boutique)</t>
        </is>
      </c>
      <c r="H93" s="7" t="inlineStr">
        <is>
          <t>1. Not Contacted</t>
        </is>
      </c>
      <c r="I93" s="6" t="inlineStr"/>
      <c r="J93" s="6" t="inlineStr">
        <is>
          <t>High fee structure (Rs 8k - 25k/mo). Owners care about brand prestige, zero counter friction, and automated payment receipts.</t>
        </is>
      </c>
      <c r="K93" s="6" t="inlineStr">
        <is>
          <t>Automated WhatsApp Fee Receipts + Raast QR Instant Verification + Member Retention Dashboard</t>
        </is>
      </c>
      <c r="L93" s="6" t="inlineStr">
        <is>
          <t>Pro / Enterprise (Rs 7,500 - 15,000/mo)</t>
        </is>
      </c>
      <c r="M93" s="6" t="inlineStr">
        <is>
          <t>250 - 600 members</t>
        </is>
      </c>
      <c r="N93" s="6" t="inlineStr">
        <is>
          <t>W5CX+4FQ Ordnance Mart, Malir Cantonment, Karachi, Pakistan</t>
        </is>
      </c>
      <c r="O93" s="8">
        <f>HYPERLINK("https://www.google.com/maps/place/Core+Craft/data=!4m7!3m6!1s0x3eb337004c74455d:0xbe3580836e7c2b9b!8m2!3d24.920329!4d67.1987349!16s%2Fg%2F11zbgvn117!19sChIJXUV0TAA3sz4Rmyt8boOANb4?authuser=0&amp;hl=en&amp;g_ep=EgoyMDI2MDkyOC4wIJJjKgBIAVAD&amp;rclk=1", "📍 View Map")</f>
        <v/>
      </c>
    </row>
    <row r="94" ht="28" customHeight="1">
      <c r="A94" s="4" t="inlineStr">
        <is>
          <t>GF-KHI-091</t>
        </is>
      </c>
      <c r="B94" s="5" t="inlineStr">
        <is>
          <t>Curves n Shapes</t>
        </is>
      </c>
      <c r="C94" s="4" t="inlineStr">
        <is>
          <t>Malir</t>
        </is>
      </c>
      <c r="D94" s="6" t="inlineStr">
        <is>
          <t>+92 300 2255620</t>
        </is>
      </c>
      <c r="E94" s="8">
        <f>HYPERLINK("https://wa.me/923002255620", "💬 Open WhatsApp")</f>
        <v/>
      </c>
      <c r="F94" s="4" t="n">
        <v>4.5</v>
      </c>
      <c r="G94" s="6" t="inlineStr">
        <is>
          <t>Tier 3 (Local Community Gym)</t>
        </is>
      </c>
      <c r="H94" s="7" t="inlineStr">
        <is>
          <t>1. Not Contacted</t>
        </is>
      </c>
      <c r="I94" s="6" t="inlineStr"/>
      <c r="J94" s="6" t="inlineStr">
        <is>
          <t>Still using notebook/Excel register. Low tech barrier needed. Emphasize mobile-friendly Urdu/English interface and Rs 100/day cost.</t>
        </is>
      </c>
      <c r="K94" s="6" t="inlineStr">
        <is>
          <t>Replace Paper Register with 1-Click Mobile Member Entry &amp; Due Date SMS/WhatsApp</t>
        </is>
      </c>
      <c r="L94" s="6" t="inlineStr">
        <is>
          <t>Starter (Rs 2,500 - 3,500/mo)</t>
        </is>
      </c>
      <c r="M94" s="6" t="inlineStr">
        <is>
          <t>80 - 180 members</t>
        </is>
      </c>
      <c r="N94" s="6" t="inlineStr">
        <is>
          <t>Qaid Park, 13/7 Begum Khursheed Rd, near laal masjid, Saudabad Block C Malir, Karachi, Pakistan</t>
        </is>
      </c>
      <c r="O94" s="8">
        <f>HYPERLINK("https://www.google.com/maps/place/Curves+n+Shapes/data=!4m7!3m6!1s0x3eb339e7bf4017a1:0x6ca93dbd33fb6672!8m2!3d24.8936347!4d67.1899514!16s%2Fg%2F11cn7h3sr_!19sChIJoRdAv-c5sz4Rcmb7M709qWw?authuser=0&amp;hl=en&amp;g_ep=EgoyMDI2MDkyOC4wIJJjKgBIAVAD&amp;rclk=1", "📍 View Map")</f>
        <v/>
      </c>
    </row>
    <row r="95" ht="28" customHeight="1">
      <c r="A95" s="4" t="inlineStr">
        <is>
          <t>GF-KHI-092</t>
        </is>
      </c>
      <c r="B95" s="5" t="inlineStr">
        <is>
          <t>Sports arena gym</t>
        </is>
      </c>
      <c r="C95" s="4" t="inlineStr">
        <is>
          <t>Malir</t>
        </is>
      </c>
      <c r="D95" s="6" t="inlineStr">
        <is>
          <t>+92 320 2190925</t>
        </is>
      </c>
      <c r="E95" s="8">
        <f>HYPERLINK("https://wa.me/923202190925", "💬 Open WhatsApp")</f>
        <v/>
      </c>
      <c r="F95" s="4" t="n">
        <v>4</v>
      </c>
      <c r="G95" s="6" t="inlineStr">
        <is>
          <t>Tier 3 (Local Community Gym)</t>
        </is>
      </c>
      <c r="H95" s="7" t="inlineStr">
        <is>
          <t>1. Not Contacted</t>
        </is>
      </c>
      <c r="I95" s="6" t="inlineStr"/>
      <c r="J95" s="6" t="inlineStr">
        <is>
          <t>Still using notebook/Excel register. Low tech barrier needed. Emphasize mobile-friendly Urdu/English interface and Rs 100/day cost.</t>
        </is>
      </c>
      <c r="K95" s="6" t="inlineStr">
        <is>
          <t>Replace Paper Register with 1-Click Mobile Member Entry &amp; Due Date SMS/WhatsApp</t>
        </is>
      </c>
      <c r="L95" s="6" t="inlineStr">
        <is>
          <t>Starter (Rs 2,500 - 3,500/mo)</t>
        </is>
      </c>
      <c r="M95" s="6" t="inlineStr">
        <is>
          <t>80 - 180 members</t>
        </is>
      </c>
      <c r="N95" s="6" t="inlineStr">
        <is>
          <t>4, dotts shopping complex, Malir Cantonment, Karachi, 75080, Pakistan</t>
        </is>
      </c>
      <c r="O95" s="8">
        <f>HYPERLINK("https://www.google.com/maps/place/Sports+arena+gym/data=!4m7!3m6!1s0x3eb33780e1bb5a0f:0x70d832424f1caf98!8m2!3d24.9315244!4d67.2019787!16s%2Fg%2F11y49w5f3d!19sChIJD1q74YA3sz4RmK8cT0Iy2HA?authuser=0&amp;hl=en&amp;g_ep=EgoyMDI2MDkyOC4wIJJjKgBIAVAD&amp;rclk=1", "📍 View Map")</f>
        <v/>
      </c>
    </row>
    <row r="96" ht="28" customHeight="1">
      <c r="A96" s="4" t="inlineStr">
        <is>
          <t>GF-KHI-093</t>
        </is>
      </c>
      <c r="B96" s="5" t="inlineStr">
        <is>
          <t>Garrison sports complex</t>
        </is>
      </c>
      <c r="C96" s="4" t="inlineStr">
        <is>
          <t>Malir</t>
        </is>
      </c>
      <c r="D96" s="6" t="inlineStr">
        <is>
          <t>+92 310 2623827</t>
        </is>
      </c>
      <c r="E96" s="8">
        <f>HYPERLINK("https://wa.me/923102623827", "💬 Open WhatsApp")</f>
        <v/>
      </c>
      <c r="F96" s="4" t="n">
        <v>5</v>
      </c>
      <c r="G96" s="6" t="inlineStr">
        <is>
          <t>Tier 3 (Local Community Gym)</t>
        </is>
      </c>
      <c r="H96" s="7" t="inlineStr">
        <is>
          <t>1. Not Contacted</t>
        </is>
      </c>
      <c r="I96" s="6" t="inlineStr"/>
      <c r="J96" s="6" t="inlineStr">
        <is>
          <t>Still using notebook/Excel register. Low tech barrier needed. Emphasize mobile-friendly Urdu/English interface and Rs 100/day cost.</t>
        </is>
      </c>
      <c r="K96" s="6" t="inlineStr">
        <is>
          <t>Replace Paper Register with 1-Click Mobile Member Entry &amp; Due Date SMS/WhatsApp</t>
        </is>
      </c>
      <c r="L96" s="6" t="inlineStr">
        <is>
          <t>Starter (Rs 2,500 - 3,500/mo)</t>
        </is>
      </c>
      <c r="M96" s="6" t="inlineStr">
        <is>
          <t>80 - 180 members</t>
        </is>
      </c>
      <c r="N96" s="6" t="inlineStr">
        <is>
          <t>W5QF+82Q, Bilawal Jokhio Goth Malir Cantonment, Karachi, Pakistan</t>
        </is>
      </c>
      <c r="O96" s="8">
        <f>HYPERLINK("https://www.google.com/maps/place/Garrison+sports+complex/data=!4m7!3m6!1s0x3eb337007cdd1ae1:0x76cbf6734090933!8m2!3d24.9437652!4d67.2021819!16s%2Fg%2F11xkshmgg0!19sChIJ4RrdfAA3sz4RMwkJNGe_bAc?authuser=0&amp;hl=en&amp;g_ep=EgoyMDI2MDkyOC4wIJJjKgBIAVAD&amp;rclk=1", "📍 View Map")</f>
        <v/>
      </c>
    </row>
    <row r="97" ht="28" customHeight="1">
      <c r="A97" s="4" t="inlineStr">
        <is>
          <t>GF-KHI-094</t>
        </is>
      </c>
      <c r="B97" s="5" t="inlineStr">
        <is>
          <t>Armstrong Gym</t>
        </is>
      </c>
      <c r="C97" s="4" t="inlineStr">
        <is>
          <t>Malir Cantt</t>
        </is>
      </c>
      <c r="D97" s="6" t="inlineStr">
        <is>
          <t>+92 332 2464479</t>
        </is>
      </c>
      <c r="E97" s="8">
        <f>HYPERLINK("https://wa.me/923322464479", "💬 Open WhatsApp")</f>
        <v/>
      </c>
      <c r="F97" s="4" t="n">
        <v>4.6</v>
      </c>
      <c r="G97" s="6" t="inlineStr">
        <is>
          <t>Tier 3 (Local Community Gym)</t>
        </is>
      </c>
      <c r="H97" s="7" t="inlineStr">
        <is>
          <t>1. Not Contacted</t>
        </is>
      </c>
      <c r="I97" s="6" t="inlineStr"/>
      <c r="J97" s="6" t="inlineStr">
        <is>
          <t>Still using notebook/Excel register. Low tech barrier needed. Emphasize mobile-friendly Urdu/English interface and Rs 100/day cost.</t>
        </is>
      </c>
      <c r="K97" s="6" t="inlineStr">
        <is>
          <t>Replace Paper Register with 1-Click Mobile Member Entry &amp; Due Date SMS/WhatsApp</t>
        </is>
      </c>
      <c r="L97" s="6" t="inlineStr">
        <is>
          <t>Starter (Rs 2,500 - 3,500/mo)</t>
        </is>
      </c>
      <c r="M97" s="6" t="inlineStr">
        <is>
          <t>80 - 180 members</t>
        </is>
      </c>
      <c r="N97" s="6" t="inlineStr">
        <is>
          <t>Armstrong gym Rimjhim tower Safoor, near KESC Society, scheme 33 Kesc Society Gulzar E Hijri Scheme 33, Karachi, 75270, Pakistan</t>
        </is>
      </c>
      <c r="O97" s="8">
        <f>HYPERLINK("https://www.google.com/maps/place/Armstrong+Gym/data=!4m7!3m6!1s0x3eb339835ceca7f3:0xa9a84251ec010e1c!8m2!3d24.9406439!4d67.1604083!16s%2Fg%2F11f9yp1d2j!19sChIJ86fsXIM5sz4RHA4B7FFCqKk?authuser=0&amp;hl=en&amp;g_ep=EgoyMDI2MDkyOC4wIJJjKgBIAVAD&amp;rclk=1", "📍 View Map")</f>
        <v/>
      </c>
    </row>
    <row r="98" ht="28" customHeight="1">
      <c r="A98" s="4" t="inlineStr">
        <is>
          <t>GF-KHI-095</t>
        </is>
      </c>
      <c r="B98" s="5" t="inlineStr">
        <is>
          <t>X1 Fitness</t>
        </is>
      </c>
      <c r="C98" s="4" t="inlineStr">
        <is>
          <t>Gulshan-e-Iqbal</t>
        </is>
      </c>
      <c r="D98" s="6" t="inlineStr">
        <is>
          <t>+92 310 6568333</t>
        </is>
      </c>
      <c r="E98" s="8">
        <f>HYPERLINK("https://wa.me/923106568333", "💬 Open WhatsApp")</f>
        <v/>
      </c>
      <c r="F98" s="4" t="n">
        <v>4.9</v>
      </c>
      <c r="G98" s="6" t="inlineStr">
        <is>
          <t>Tier 2 (High-Volume Mid-Market)</t>
        </is>
      </c>
      <c r="H98" s="7" t="inlineStr">
        <is>
          <t>1. Not Contacted</t>
        </is>
      </c>
      <c r="I98" s="6" t="inlineStr"/>
      <c r="J98" s="6" t="inlineStr">
        <is>
          <t>High member turnover &amp; unpaid fee leakage (15-25% dues delay). Pitch automated WhatsApp reminders and daily cash ledger.</t>
        </is>
      </c>
      <c r="K98" s="6" t="inlineStr">
        <is>
          <t>Eliminate Unpaid Member Dues with 3-Day Automated WhatsApp Payment Reminders</t>
        </is>
      </c>
      <c r="L98" s="6" t="inlineStr">
        <is>
          <t>Starter / Pro (Rs 3,500 - 7,500/mo)</t>
        </is>
      </c>
      <c r="M98" s="6" t="inlineStr">
        <is>
          <t>150 - 350 members</t>
        </is>
      </c>
      <c r="N98" s="6" t="inlineStr">
        <is>
          <t>First Floor, KJS, X1 Fitness, Business Complex, Main Rashid Minhas Rd, Work Co-Operative Society Block 10 A Gulshan-e-Iqbal, Karachi, 75300, Pakistan</t>
        </is>
      </c>
      <c r="O98" s="8">
        <f>HYPERLINK("https://www.google.com/maps/place/X1+Fitness/data=!4m7!3m6!1s0x3eb33937c5966ca3:0xdca0f94d4b7e4773!8m2!3d24.907787!4d67.109461!16s%2Fg%2F11mkncbh7j!19sChIJo2yWxTc5sz4Rc0d-S035oNw?authuser=0&amp;hl=en&amp;g_ep=EgoyMDI2MDkyOC4wIJJjKgBIAVAD&amp;rclk=1", "📍 View Map")</f>
        <v/>
      </c>
    </row>
    <row r="99" ht="28" customHeight="1">
      <c r="A99" s="4" t="inlineStr">
        <is>
          <t>GF-KHI-096</t>
        </is>
      </c>
      <c r="B99" s="5" t="inlineStr">
        <is>
          <t>Aamir's Muscle Arena Gym</t>
        </is>
      </c>
      <c r="C99" s="4" t="inlineStr">
        <is>
          <t>Gulistan-e-Johar</t>
        </is>
      </c>
      <c r="D99" s="6" t="inlineStr">
        <is>
          <t>+92 343 5009009</t>
        </is>
      </c>
      <c r="E99" s="8">
        <f>HYPERLINK("https://wa.me/923435009009", "💬 Open WhatsApp")</f>
        <v/>
      </c>
      <c r="F99" s="4" t="n">
        <v>4.5</v>
      </c>
      <c r="G99" s="6" t="inlineStr">
        <is>
          <t>Tier 3 (Local Community Gym)</t>
        </is>
      </c>
      <c r="H99" s="7" t="inlineStr">
        <is>
          <t>1. Not Contacted</t>
        </is>
      </c>
      <c r="I99" s="6" t="inlineStr"/>
      <c r="J99" s="6" t="inlineStr">
        <is>
          <t>Still using notebook/Excel register. Low tech barrier needed. Emphasize mobile-friendly Urdu/English interface and Rs 100/day cost.</t>
        </is>
      </c>
      <c r="K99" s="6" t="inlineStr">
        <is>
          <t>Replace Paper Register with 1-Click Mobile Member Entry &amp; Due Date SMS/WhatsApp</t>
        </is>
      </c>
      <c r="L99" s="6" t="inlineStr">
        <is>
          <t>Starter (Rs 2,500 - 3,500/mo)</t>
        </is>
      </c>
      <c r="M99" s="6" t="inlineStr">
        <is>
          <t>80 - 180 members</t>
        </is>
      </c>
      <c r="N99" s="6" t="inlineStr">
        <is>
          <t>Mezzanine Floor Al Malik Blessing, Block-19 Block 19 Gulistan-e-Johar, Karachi, Pakistan</t>
        </is>
      </c>
      <c r="O99" s="8">
        <f>HYPERLINK("https://www.google.com/maps/place/Aamir%27s+Muscle+Arena+Gym/data=!4m7!3m6!1s0x3eb339be900d053b:0x998e7679bf8a91e2!8m2!3d24.9057029!4d67.117347!16s%2Fg%2F11fmpl2cjw!19sChIJOwUNkL45sz4R4pGKv3l2jpk?authuser=0&amp;hl=en&amp;g_ep=EgoyMDI2MDkyOC4wIJJjKgBIAVAD&amp;rclk=1", "📍 View Map")</f>
        <v/>
      </c>
    </row>
    <row r="100" ht="28" customHeight="1">
      <c r="A100" s="4" t="inlineStr">
        <is>
          <t>GF-KHI-097</t>
        </is>
      </c>
      <c r="B100" s="5" t="inlineStr">
        <is>
          <t>Iron City Gym</t>
        </is>
      </c>
      <c r="C100" s="4" t="inlineStr">
        <is>
          <t>Gulshan-e-Iqbal</t>
        </is>
      </c>
      <c r="D100" s="6" t="inlineStr">
        <is>
          <t>+92 323 3653846</t>
        </is>
      </c>
      <c r="E100" s="8">
        <f>HYPERLINK("https://wa.me/923233653846", "💬 Open WhatsApp")</f>
        <v/>
      </c>
      <c r="F100" s="4" t="n">
        <v>4.5</v>
      </c>
      <c r="G100" s="6" t="inlineStr">
        <is>
          <t>Tier 2 (High-Volume Mid-Market)</t>
        </is>
      </c>
      <c r="H100" s="7" t="inlineStr">
        <is>
          <t>1. Not Contacted</t>
        </is>
      </c>
      <c r="I100" s="6" t="inlineStr"/>
      <c r="J100" s="6" t="inlineStr">
        <is>
          <t>High member turnover &amp; unpaid fee leakage (15-25% dues delay). Pitch automated WhatsApp reminders and daily cash ledger.</t>
        </is>
      </c>
      <c r="K100" s="6" t="inlineStr">
        <is>
          <t>Eliminate Unpaid Member Dues with 3-Day Automated WhatsApp Payment Reminders</t>
        </is>
      </c>
      <c r="L100" s="6" t="inlineStr">
        <is>
          <t>Starter / Pro (Rs 3,500 - 7,500/mo)</t>
        </is>
      </c>
      <c r="M100" s="6" t="inlineStr">
        <is>
          <t>150 - 350 members</t>
        </is>
      </c>
      <c r="N100" s="6" t="inlineStr">
        <is>
          <t>Moon Garden St, Block 10-A Block 11 Gulshan-e-Iqbal, Karachi, 75290, Pakistan</t>
        </is>
      </c>
      <c r="O100" s="8">
        <f>HYPERLINK("https://www.google.com/maps/place/Iron+City+Gym/data=!4m7!3m6!1s0x3eb338dea59f7505:0x3b4cb8b4a9725f6d!8m2!3d24.913465!4d67.110881!16s%2Fg%2F11c5h1szr2!19sChIJBXWfpd44sz4RbV9yqbS4TDs?authuser=0&amp;hl=en&amp;g_ep=EgoyMDI2MDkyOC4wIJJjKgBIAVAD&amp;rclk=1", "📍 View Map")</f>
        <v/>
      </c>
    </row>
    <row r="101" ht="28" customHeight="1">
      <c r="A101" s="4" t="inlineStr">
        <is>
          <t>GF-KHI-098</t>
        </is>
      </c>
      <c r="B101" s="5" t="inlineStr">
        <is>
          <t>Legacy Fitness</t>
        </is>
      </c>
      <c r="C101" s="4" t="inlineStr">
        <is>
          <t>Federal B Area</t>
        </is>
      </c>
      <c r="D101" s="6" t="inlineStr">
        <is>
          <t>+92 303 8892727</t>
        </is>
      </c>
      <c r="E101" s="8">
        <f>HYPERLINK("https://wa.me/923038892727", "💬 Open WhatsApp")</f>
        <v/>
      </c>
      <c r="F101" s="4" t="n">
        <v>4.4</v>
      </c>
      <c r="G101" s="6" t="inlineStr">
        <is>
          <t>Tier 3 (Local Community Gym)</t>
        </is>
      </c>
      <c r="H101" s="7" t="inlineStr">
        <is>
          <t>1. Not Contacted</t>
        </is>
      </c>
      <c r="I101" s="6" t="inlineStr"/>
      <c r="J101" s="6" t="inlineStr">
        <is>
          <t>Still using notebook/Excel register. Low tech barrier needed. Emphasize mobile-friendly Urdu/English interface and Rs 100/day cost.</t>
        </is>
      </c>
      <c r="K101" s="6" t="inlineStr">
        <is>
          <t>Replace Paper Register with 1-Click Mobile Member Entry &amp; Due Date SMS/WhatsApp</t>
        </is>
      </c>
      <c r="L101" s="6" t="inlineStr">
        <is>
          <t>Starter (Rs 2,500 - 3,500/mo)</t>
        </is>
      </c>
      <c r="M101" s="6" t="inlineStr">
        <is>
          <t>80 - 180 members</t>
        </is>
      </c>
      <c r="N101" s="6" t="inlineStr">
        <is>
          <t>C-257, Block 10 Gulberg Town, Karachi, 75950, Pakistan</t>
        </is>
      </c>
      <c r="O101" s="8">
        <f>HYPERLINK("https://www.google.com/maps/place/Legacy+Fitness/data=!4m7!3m6!1s0x3eb33f2e5d83f833:0x78cdb6772359130f!8m2!3d24.9303146!4d67.0622168!16s%2Fg%2F11fwvsb7cl!19sChIJM_iDXS4_sz4RDxNZI3e2zXg?authuser=0&amp;hl=en&amp;g_ep=EgoyMDI2MDkyOC4wIJJjKgBIAVAD&amp;rclk=1", "📍 View Map")</f>
        <v/>
      </c>
    </row>
    <row r="102" ht="28" customHeight="1">
      <c r="A102" s="4" t="inlineStr">
        <is>
          <t>GF-KHI-099</t>
        </is>
      </c>
      <c r="B102" s="5" t="inlineStr">
        <is>
          <t>Soul Fitness</t>
        </is>
      </c>
      <c r="C102" s="4" t="inlineStr">
        <is>
          <t>FB Area</t>
        </is>
      </c>
      <c r="D102" s="6" t="inlineStr">
        <is>
          <t>+92 346 2459535</t>
        </is>
      </c>
      <c r="E102" s="8">
        <f>HYPERLINK("https://wa.me/923462459535", "💬 Open WhatsApp")</f>
        <v/>
      </c>
      <c r="F102" s="4" t="n">
        <v>4.6</v>
      </c>
      <c r="G102" s="6" t="inlineStr">
        <is>
          <t>Tier 3 (Local Community Gym)</t>
        </is>
      </c>
      <c r="H102" s="7" t="inlineStr">
        <is>
          <t>1. Not Contacted</t>
        </is>
      </c>
      <c r="I102" s="6" t="inlineStr"/>
      <c r="J102" s="6" t="inlineStr">
        <is>
          <t>Still using notebook/Excel register. Low tech barrier needed. Emphasize mobile-friendly Urdu/English interface and Rs 100/day cost.</t>
        </is>
      </c>
      <c r="K102" s="6" t="inlineStr">
        <is>
          <t>Replace Paper Register with 1-Click Mobile Member Entry &amp; Due Date SMS/WhatsApp</t>
        </is>
      </c>
      <c r="L102" s="6" t="inlineStr">
        <is>
          <t>Starter (Rs 2,500 - 3,500/mo)</t>
        </is>
      </c>
      <c r="M102" s="6" t="inlineStr">
        <is>
          <t>80 - 180 members</t>
        </is>
      </c>
      <c r="N102" s="6" t="inlineStr">
        <is>
          <t>B-4, Federal B Area Block 12 Gulberg Town, Karachi, 75950, Pakistan</t>
        </is>
      </c>
      <c r="O102" s="8">
        <f>HYPERLINK("https://www.google.com/maps/place/Soul+Fitness/data=!4m7!3m6!1s0x3eb33f00ae2bebfb:0x8f3e6ca53311c9!8m2!3d24.9384732!4d67.0661436!16s%2Fg%2F11sh6bqqxf!19sChIJ--srrgA_sz4RyREzpWw-jwA?authuser=0&amp;hl=en&amp;g_ep=EgoyMDI2MDkyOC4wIJJjKgBIAVAD&amp;rclk=1", "📍 View Map")</f>
        <v/>
      </c>
    </row>
    <row r="103" ht="28" customHeight="1">
      <c r="A103" s="4" t="inlineStr">
        <is>
          <t>GF-KHI-100</t>
        </is>
      </c>
      <c r="B103" s="5" t="inlineStr">
        <is>
          <t>IRONWAR FITNESS II</t>
        </is>
      </c>
      <c r="C103" s="4" t="inlineStr">
        <is>
          <t>FB Area</t>
        </is>
      </c>
      <c r="D103" s="6" t="inlineStr">
        <is>
          <t>+92 311 2793641</t>
        </is>
      </c>
      <c r="E103" s="8">
        <f>HYPERLINK("https://wa.me/923112793641", "💬 Open WhatsApp")</f>
        <v/>
      </c>
      <c r="F103" s="4" t="n">
        <v>4.8</v>
      </c>
      <c r="G103" s="6" t="inlineStr">
        <is>
          <t>Tier 3 (Local Community Gym)</t>
        </is>
      </c>
      <c r="H103" s="7" t="inlineStr">
        <is>
          <t>1. Not Contacted</t>
        </is>
      </c>
      <c r="I103" s="6" t="inlineStr"/>
      <c r="J103" s="6" t="inlineStr">
        <is>
          <t>Still using notebook/Excel register. Low tech barrier needed. Emphasize mobile-friendly Urdu/English interface and Rs 100/day cost.</t>
        </is>
      </c>
      <c r="K103" s="6" t="inlineStr">
        <is>
          <t>Replace Paper Register with 1-Click Mobile Member Entry &amp; Due Date SMS/WhatsApp</t>
        </is>
      </c>
      <c r="L103" s="6" t="inlineStr">
        <is>
          <t>Starter (Rs 2,500 - 3,500/mo)</t>
        </is>
      </c>
      <c r="M103" s="6" t="inlineStr">
        <is>
          <t>80 - 180 members</t>
        </is>
      </c>
      <c r="N103" s="6" t="inlineStr">
        <is>
          <t>Plot BS, 3 Gulberg West Ln, Federal B Area Block 12 Gulberg Town, Karachi, 75950, Pakistan</t>
        </is>
      </c>
      <c r="O103" s="8">
        <f>HYPERLINK("https://www.google.com/maps/place/IRONWAR+FITNESS+II/data=!4m7!3m6!1s0x3eb33fb1bfdb0401:0x4697c0fabd40ca44!8m2!3d24.937077!4d67.065658!16s%2Fg%2F11yv2jx4_0!19sChIJAQTbv7E_sz4RRMpAvfrAl0Y?authuser=0&amp;hl=en&amp;g_ep=EgoyMDI2MDkyOC4wIJJjKgBIAVAD&amp;rclk=1", "📍 View Map")</f>
        <v/>
      </c>
    </row>
    <row r="104" ht="28" customHeight="1">
      <c r="A104" s="4" t="inlineStr">
        <is>
          <t>GF-KHI-101</t>
        </is>
      </c>
      <c r="B104" s="5" t="inlineStr">
        <is>
          <t>YM Gym</t>
        </is>
      </c>
      <c r="C104" s="4" t="inlineStr">
        <is>
          <t>FB Area</t>
        </is>
      </c>
      <c r="D104" s="6" t="inlineStr">
        <is>
          <t>+92 317 2842090</t>
        </is>
      </c>
      <c r="E104" s="8">
        <f>HYPERLINK("https://wa.me/923172842090", "💬 Open WhatsApp")</f>
        <v/>
      </c>
      <c r="F104" s="4" t="n">
        <v>5</v>
      </c>
      <c r="G104" s="6" t="inlineStr">
        <is>
          <t>Tier 3 (Local Community Gym)</t>
        </is>
      </c>
      <c r="H104" s="7" t="inlineStr">
        <is>
          <t>1. Not Contacted</t>
        </is>
      </c>
      <c r="I104" s="6" t="inlineStr"/>
      <c r="J104" s="6" t="inlineStr">
        <is>
          <t>Still using notebook/Excel register. Low tech barrier needed. Emphasize mobile-friendly Urdu/English interface and Rs 100/day cost.</t>
        </is>
      </c>
      <c r="K104" s="6" t="inlineStr">
        <is>
          <t>Replace Paper Register with 1-Click Mobile Member Entry &amp; Due Date SMS/WhatsApp</t>
        </is>
      </c>
      <c r="L104" s="6" t="inlineStr">
        <is>
          <t>Starter (Rs 2,500 - 3,500/mo)</t>
        </is>
      </c>
      <c r="M104" s="6" t="inlineStr">
        <is>
          <t>80 - 180 members</t>
        </is>
      </c>
      <c r="N104" s="6" t="inlineStr">
        <is>
          <t>ST 21 Azizabad Main Rd, Federal B Area Block 7 Gulberg Town, Karachi, 75950, Pakistan</t>
        </is>
      </c>
      <c r="O104" s="8">
        <f>HYPERLINK("https://www.google.com/maps/place/YM+Gym/data=!4m7!3m6!1s0x3eb33f005b4209bb:0x387d848a968702f2!8m2!3d24.9228462!4d67.0664588!16s%2Fg%2F11mk9qt85c!19sChIJuwlCWwA_sz4R8gKHloqEfTg?authuser=0&amp;hl=en&amp;g_ep=EgoyMDI2MDkyOC4wIJJjKgBIAVAD&amp;rclk=1", "📍 View Map")</f>
        <v/>
      </c>
    </row>
    <row r="105" ht="28" customHeight="1">
      <c r="A105" s="4" t="inlineStr">
        <is>
          <t>GF-KHI-102</t>
        </is>
      </c>
      <c r="B105" s="5" t="inlineStr">
        <is>
          <t>Haji Club</t>
        </is>
      </c>
      <c r="C105" s="4" t="inlineStr">
        <is>
          <t>Gulshan-e-Iqbal</t>
        </is>
      </c>
      <c r="D105" s="6" t="inlineStr">
        <is>
          <t>+92 335 8743483</t>
        </is>
      </c>
      <c r="E105" s="8">
        <f>HYPERLINK("https://wa.me/923358743483", "💬 Open WhatsApp")</f>
        <v/>
      </c>
      <c r="F105" s="4" t="n">
        <v>4.9</v>
      </c>
      <c r="G105" s="6" t="inlineStr">
        <is>
          <t>Tier 1 (Premium / Boutique)</t>
        </is>
      </c>
      <c r="H105" s="7" t="inlineStr">
        <is>
          <t>1. Not Contacted</t>
        </is>
      </c>
      <c r="I105" s="6" t="inlineStr"/>
      <c r="J105" s="6" t="inlineStr">
        <is>
          <t>High fee structure (Rs 8k - 25k/mo). Owners care about brand prestige, zero counter friction, and automated payment receipts.</t>
        </is>
      </c>
      <c r="K105" s="6" t="inlineStr">
        <is>
          <t>Automated WhatsApp Fee Receipts + Raast QR Instant Verification + Member Retention Dashboard</t>
        </is>
      </c>
      <c r="L105" s="6" t="inlineStr">
        <is>
          <t>Pro / Enterprise (Rs 7,500 - 15,000/mo)</t>
        </is>
      </c>
      <c r="M105" s="6" t="inlineStr">
        <is>
          <t>250 - 600 members</t>
        </is>
      </c>
      <c r="N105" s="6" t="inlineStr">
        <is>
          <t>LA-2/B Rashid Minhas Rd, opp. UBL Sports, Federal B Area Block 21 Complex، Karachi, Karachi, Pakistan</t>
        </is>
      </c>
      <c r="O105" s="8">
        <f>HYPERLINK("https://www.google.com/maps/place/Haji+Club/data=!4m7!3m6!1s0x3eb33f5c933c724b:0x70006449b290ba87!8m2!3d24.9370064!4d67.0745778!16s%2Fg%2F1tcwpmbk!19sChIJS3I8k1w_sz4Rh7qQsklkAHA?authuser=0&amp;hl=en&amp;g_ep=EgoyMDI2MDkyOC4wIJJjKgBIAVAD&amp;rclk=1", "📍 View Map")</f>
        <v/>
      </c>
    </row>
    <row r="106" ht="28" customHeight="1">
      <c r="A106" s="4" t="inlineStr">
        <is>
          <t>GF-KHI-103</t>
        </is>
      </c>
      <c r="B106" s="5" t="inlineStr">
        <is>
          <t>Body Mechanic Fitness Gym</t>
        </is>
      </c>
      <c r="C106" s="4" t="inlineStr">
        <is>
          <t>FB Area</t>
        </is>
      </c>
      <c r="D106" s="6" t="inlineStr">
        <is>
          <t>+92 345 2858499</t>
        </is>
      </c>
      <c r="E106" s="8">
        <f>HYPERLINK("https://wa.me/923452858499", "💬 Open WhatsApp")</f>
        <v/>
      </c>
      <c r="F106" s="4" t="n">
        <v>4.8</v>
      </c>
      <c r="G106" s="6" t="inlineStr">
        <is>
          <t>Tier 3 (Local Community Gym)</t>
        </is>
      </c>
      <c r="H106" s="7" t="inlineStr">
        <is>
          <t>1. Not Contacted</t>
        </is>
      </c>
      <c r="I106" s="6" t="inlineStr"/>
      <c r="J106" s="6" t="inlineStr">
        <is>
          <t>Still using notebook/Excel register. Low tech barrier needed. Emphasize mobile-friendly Urdu/English interface and Rs 100/day cost.</t>
        </is>
      </c>
      <c r="K106" s="6" t="inlineStr">
        <is>
          <t>Replace Paper Register with 1-Click Mobile Member Entry &amp; Due Date SMS/WhatsApp</t>
        </is>
      </c>
      <c r="L106" s="6" t="inlineStr">
        <is>
          <t>Starter (Rs 2,500 - 3,500/mo)</t>
        </is>
      </c>
      <c r="M106" s="6" t="inlineStr">
        <is>
          <t>80 - 180 members</t>
        </is>
      </c>
      <c r="N106" s="6" t="inlineStr">
        <is>
          <t>Plot C-25, Muhammadi Centre, Basement, Federal B Area Block 17 Gulberg Town, Karachi, 75950, Pakistan</t>
        </is>
      </c>
      <c r="O106" s="8">
        <f>HYPERLINK("https://www.google.com/maps/place/Body+Mechanic+Fitness+Gym/data=!4m7!3m6!1s0x3eb33f8599b731bb:0x64c683a580cf8a9d!8m2!3d24.9379466!4d67.0765836!16s%2Fg%2F11t7m5gvr8!19sChIJuzG3mYU_sz4RnYrPgKWDxmQ?authuser=0&amp;hl=en&amp;g_ep=EgoyMDI2MDkyOC4wIJJjKgBIAVAD&amp;rclk=1", "📍 View Map")</f>
        <v/>
      </c>
    </row>
    <row r="107" ht="28" customHeight="1">
      <c r="A107" s="4" t="inlineStr">
        <is>
          <t>GF-KHI-104</t>
        </is>
      </c>
      <c r="B107" s="5" t="inlineStr">
        <is>
          <t>AA Fitness Gulberg Branch</t>
        </is>
      </c>
      <c r="C107" s="4" t="inlineStr">
        <is>
          <t>Federal B Area</t>
        </is>
      </c>
      <c r="D107" s="6" t="inlineStr">
        <is>
          <t>+92 312 2807431</t>
        </is>
      </c>
      <c r="E107" s="8">
        <f>HYPERLINK("https://wa.me/923122807431", "💬 Open WhatsApp")</f>
        <v/>
      </c>
      <c r="F107" s="4" t="n">
        <v>4.9</v>
      </c>
      <c r="G107" s="6" t="inlineStr">
        <is>
          <t>Tier 3 (Local Community Gym)</t>
        </is>
      </c>
      <c r="H107" s="7" t="inlineStr">
        <is>
          <t>1. Not Contacted</t>
        </is>
      </c>
      <c r="I107" s="6" t="inlineStr"/>
      <c r="J107" s="6" t="inlineStr">
        <is>
          <t>Still using notebook/Excel register. Low tech barrier needed. Emphasize mobile-friendly Urdu/English interface and Rs 100/day cost.</t>
        </is>
      </c>
      <c r="K107" s="6" t="inlineStr">
        <is>
          <t>Replace Paper Register with 1-Click Mobile Member Entry &amp; Due Date SMS/WhatsApp</t>
        </is>
      </c>
      <c r="L107" s="6" t="inlineStr">
        <is>
          <t>Starter (Rs 2,500 - 3,500/mo)</t>
        </is>
      </c>
      <c r="M107" s="6" t="inlineStr">
        <is>
          <t>80 - 180 members</t>
        </is>
      </c>
      <c r="N107" s="6" t="inlineStr">
        <is>
          <t>C 51 C 51, Block 17 Gulberg Town, Karachi, Pakistan</t>
        </is>
      </c>
      <c r="O107" s="8">
        <f>HYPERLINK("https://www.google.com/maps/place/AA+Fitness+Gulberg+Branch/data=!4m7!3m6!1s0x3eb33f46703fab61:0xaa7f4c1ee69729f9!8m2!3d24.9416098!4d67.0718193!16s%2Fg%2F11s8904hsl!19sChIJYas_cEY_sz4R-SmX5h5Mf6o?authuser=0&amp;hl=en&amp;g_ep=EgoyMDI2MDkyOC4wIJJjKgBIAVAD&amp;rclk=1", "📍 View Map")</f>
        <v/>
      </c>
    </row>
    <row r="108" ht="28" customHeight="1">
      <c r="A108" s="4" t="inlineStr">
        <is>
          <t>GF-KHI-105</t>
        </is>
      </c>
      <c r="B108" s="5" t="inlineStr">
        <is>
          <t>The GYM Fitness Hub</t>
        </is>
      </c>
      <c r="C108" s="4" t="inlineStr">
        <is>
          <t>Gulistan-e-Johar</t>
        </is>
      </c>
      <c r="D108" s="6" t="inlineStr">
        <is>
          <t>+92 310 0200077</t>
        </is>
      </c>
      <c r="E108" s="8">
        <f>HYPERLINK("https://wa.me/923100200077", "💬 Open WhatsApp")</f>
        <v/>
      </c>
      <c r="F108" s="4" t="n">
        <v>4.4</v>
      </c>
      <c r="G108" s="6" t="inlineStr">
        <is>
          <t>Tier 3 (Local Community Gym)</t>
        </is>
      </c>
      <c r="H108" s="7" t="inlineStr">
        <is>
          <t>1. Not Contacted</t>
        </is>
      </c>
      <c r="I108" s="6" t="inlineStr"/>
      <c r="J108" s="6" t="inlineStr">
        <is>
          <t>Still using notebook/Excel register. Low tech barrier needed. Emphasize mobile-friendly Urdu/English interface and Rs 100/day cost.</t>
        </is>
      </c>
      <c r="K108" s="6" t="inlineStr">
        <is>
          <t>Replace Paper Register with 1-Click Mobile Member Entry &amp; Due Date SMS/WhatsApp</t>
        </is>
      </c>
      <c r="L108" s="6" t="inlineStr">
        <is>
          <t>Starter (Rs 2,500 - 3,500/mo)</t>
        </is>
      </c>
      <c r="M108" s="6" t="inlineStr">
        <is>
          <t>80 - 180 members</t>
        </is>
      </c>
      <c r="N108" s="6" t="inlineStr">
        <is>
          <t>2nd Floor, Building # T-583, opposite Meezan Bank, 2-1/2 Sector 41 A Korangi, Karachi, 74900, Pakistan</t>
        </is>
      </c>
      <c r="O108" s="8">
        <f>HYPERLINK("https://www.google.com/maps/place/The+GYM+Fitness+Hub/data=!4m7!3m6!1s0x3eb33bea58923de1:0xbaa96e0c172df78e!8m2!3d24.8235137!4d67.1414745!16s%2Fg%2F11ll36rgqk!19sChIJ4T2SWOo7sz4RjvctFwxuqbo?authuser=0&amp;hl=en&amp;g_ep=EgoyMDI2MDkyOC4wIJJjKgBIAVAD&amp;rclk=1", "📍 View Map")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45" customWidth="1" min="4" max="4"/>
    <col width="22" customWidth="1" min="5" max="5"/>
    <col width="20" customWidth="1" min="6" max="6"/>
  </cols>
  <sheetData>
    <row r="1" ht="36" customHeight="1">
      <c r="A1" s="9" t="inlineStr">
        <is>
          <t>🎯 KARACHI MARKET SEGMENTATION &amp; STRATEGY DASHBOARD</t>
        </is>
      </c>
    </row>
    <row r="3" ht="28" customHeight="1">
      <c r="A3" s="3" t="inlineStr">
        <is>
          <t>Area / Zone</t>
        </is>
      </c>
      <c r="B3" s="3" t="inlineStr">
        <is>
          <t>Total Gyms</t>
        </is>
      </c>
      <c r="C3" s="3" t="inlineStr">
        <is>
          <t>Primary Persona / ICP</t>
        </is>
      </c>
      <c r="D3" s="3" t="inlineStr">
        <is>
          <t>Recommended SaaS Pitch Angle</t>
        </is>
      </c>
      <c r="E3" s="3" t="inlineStr">
        <is>
          <t>Avg. Target Fee</t>
        </is>
      </c>
      <c r="F3" s="3" t="inlineStr">
        <is>
          <t>Priority Rank</t>
        </is>
      </c>
    </row>
    <row r="4" ht="26" customHeight="1">
      <c r="A4" s="10" t="inlineStr">
        <is>
          <t>DHA &amp; Clifton</t>
        </is>
      </c>
      <c r="B4" s="4" t="n">
        <v>22</v>
      </c>
      <c r="C4" s="6" t="inlineStr">
        <is>
          <t>Premium Boutiques &amp; High-End Clubs</t>
        </is>
      </c>
      <c r="D4" s="6" t="inlineStr">
        <is>
          <t>Modern Member Experience, Instant WhatsApp QR Receipts, Branded Member Portal</t>
        </is>
      </c>
      <c r="E4" s="4" t="inlineStr">
        <is>
          <t>Rs 10,000 - 15,000/mo</t>
        </is>
      </c>
      <c r="F4" s="11" t="inlineStr">
        <is>
          <t>⭐⭐⭐⭐⭐ Priority 1</t>
        </is>
      </c>
    </row>
    <row r="5" ht="26" customHeight="1">
      <c r="A5" s="10" t="inlineStr">
        <is>
          <t>PECHS, Bahadurabad &amp; Tariq Rd</t>
        </is>
      </c>
      <c r="B5" s="4" t="n">
        <v>31</v>
      </c>
      <c r="C5" s="6" t="inlineStr">
        <is>
          <t>High-Density Commercial Hubs</t>
        </is>
      </c>
      <c r="D5" s="6" t="inlineStr">
        <is>
          <t>Automated Dues Recovery via WhatsApp, Staff Cash Embezzlement Prevention</t>
        </is>
      </c>
      <c r="E5" s="4" t="inlineStr">
        <is>
          <t>Rs 5,000 - 7,500/mo</t>
        </is>
      </c>
      <c r="F5" s="11" t="inlineStr">
        <is>
          <t>⭐⭐⭐⭐⭐ Priority 1</t>
        </is>
      </c>
    </row>
    <row r="6" ht="26" customHeight="1">
      <c r="A6" s="10" t="inlineStr">
        <is>
          <t>Gulshan-e-Iqbal &amp; Johar</t>
        </is>
      </c>
      <c r="B6" s="4" t="n">
        <v>27</v>
      </c>
      <c r="C6" s="6" t="inlineStr">
        <is>
          <t>High-Volume Community &amp; Commercial Gyms</t>
        </is>
      </c>
      <c r="D6" s="6" t="inlineStr">
        <is>
          <t>Stop Manual Register Bookings, 3-Day Automated Dues Reminders, Raast QR</t>
        </is>
      </c>
      <c r="E6" s="4" t="inlineStr">
        <is>
          <t>Rs 3,500 - 5,000/mo</t>
        </is>
      </c>
      <c r="F6" s="4" t="inlineStr">
        <is>
          <t>⭐⭐⭐⭐ Priority 2</t>
        </is>
      </c>
    </row>
    <row r="7" ht="26" customHeight="1">
      <c r="A7" s="10" t="inlineStr">
        <is>
          <t>North Nazimabad &amp; Nazimabad</t>
        </is>
      </c>
      <c r="B7" s="4" t="n">
        <v>8</v>
      </c>
      <c r="C7" s="6" t="inlineStr">
        <is>
          <t>Established Neighborhood Fitness Centers</t>
        </is>
      </c>
      <c r="D7" s="6" t="inlineStr">
        <is>
          <t>Low-Cost Mobile-First Management, WhatsApp Due Alerts, Expense Tracker</t>
        </is>
      </c>
      <c r="E7" s="4" t="inlineStr">
        <is>
          <t>Rs 3,500/mo</t>
        </is>
      </c>
      <c r="F7" s="4" t="inlineStr">
        <is>
          <t>⭐⭐⭐ Priority 3</t>
        </is>
      </c>
    </row>
    <row r="8" ht="26" customHeight="1">
      <c r="A8" s="10" t="inlineStr">
        <is>
          <t>Malir &amp; Malir Cantt</t>
        </is>
      </c>
      <c r="B8" s="4" t="n">
        <v>9</v>
      </c>
      <c r="C8" s="6" t="inlineStr">
        <is>
          <t>Residential &amp; Cantt Fitness Centers</t>
        </is>
      </c>
      <c r="D8" s="6" t="inlineStr">
        <is>
          <t>Simplified Member Signups, WhatsApp Broadcasts, Fast Cash Management</t>
        </is>
      </c>
      <c r="E8" s="4" t="inlineStr">
        <is>
          <t>Rs 3,500/mo</t>
        </is>
      </c>
      <c r="F8" s="4" t="inlineStr">
        <is>
          <t>⭐⭐⭐ Priority 3</t>
        </is>
      </c>
    </row>
    <row r="9" ht="26" customHeight="1">
      <c r="A9" s="10" t="inlineStr">
        <is>
          <t>Federal B Area &amp; Sh-e-Faisal</t>
        </is>
      </c>
      <c r="B9" s="4" t="n">
        <v>8</v>
      </c>
      <c r="C9" s="6" t="inlineStr">
        <is>
          <t>Mixed Commercial Centers</t>
        </is>
      </c>
      <c r="D9" s="6" t="inlineStr">
        <is>
          <t>Paperless Gym Operations, 1-Click WhatsApp Member Notification</t>
        </is>
      </c>
      <c r="E9" s="4" t="inlineStr">
        <is>
          <t>Rs 3,500/mo</t>
        </is>
      </c>
      <c r="F9" s="4" t="inlineStr">
        <is>
          <t>⭐⭐⭐ Priority 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</cols>
  <sheetData>
    <row r="1" ht="36" customHeight="1">
      <c r="A1" s="9" t="inlineStr">
        <is>
          <t>📲 HIGH-CONVERTING WHATSAPP OUTREACH PLAYBOOK</t>
        </is>
      </c>
    </row>
    <row r="3" ht="24" customHeight="1">
      <c r="A3" s="12" t="inlineStr">
        <is>
          <t>📌 Template 1: Unpaid Fees &amp; Dues Recovery (Best for PECHS / Gulshan / Johar)</t>
        </is>
      </c>
    </row>
    <row r="4" ht="30" customHeight="1">
      <c r="A4" s="13" t="inlineStr">
        <is>
          <t>Assalam-o-Alaikum [Gym Owner Name / Manager] bhai! 👋
Main Mursaleen baat kar raha hoon Karachi se. Ek brief observation yeh hai ke aksar gym owners ka har mahine 15-20% fee collection members ki late payments ki wajah se delay hota hai ya manage karna mushkil hota hai.
Humne Karachi gyms ke liye ek dedicated software **GymFlow** develop kiya hai jo:
✅ Har member ko due date se 3 din pehle WhatsApp par automatic fee reminder bhejta hai (with your Gym logo &amp; Raast QR code).
✅ Jaise hi payment aati hai, automatic WhatsApp digital receipt generate ho jati hai.
✅ Counter par register ya diary maintain karne ki zaroorat khatam.
Kya main aapko 2-minute ka quick video demo ya 7 days ka free trial share karoon?</t>
        </is>
      </c>
    </row>
    <row r="5" ht="30" customHeight="1"/>
    <row r="6" ht="30" customHeight="1"/>
    <row r="7" ht="20" customHeight="1">
      <c r="A7" s="14" t="inlineStr">
        <is>
          <t>💡 Strategy: Goal: Pain-point hit karna (Cashflow leakage) aur low-friction demo offer karna.</t>
        </is>
      </c>
    </row>
    <row r="8" ht="24" customHeight="1">
      <c r="A8" s="12" t="inlineStr">
        <is>
          <t>📌 Template 2: Premium Gym Member Experience (Best for DHA / Clifton / Studios)</t>
        </is>
      </c>
    </row>
    <row r="9" ht="30" customHeight="1">
      <c r="A9" s="13" t="inlineStr">
        <is>
          <t>Assalam-o-Alaikum Team [Gym Name]! 🏋️♂️
Hope you are doing great.
Aapke gym ki premium facilities and member reviews dekh kar reach out kar raha hoon. Top gyms mein members paper receipts ya manual follow-ups ki jagah digital experience pasand karte hain.
**GymFlow** aapke gym ko provide karta hai:
🔹 Branded WhatsApp digital receipts &amp; membership expiry alerts.
🔹 Instant Raast QR integration for contactless fee collection.
🔹 Daily collection and active members insights direct on your mobile.
Koi hardware setup ki zaroorat nahi hai. Would you be open to a 3-minute quick walkthrough this week?</t>
        </is>
      </c>
    </row>
    <row r="10" ht="30" customHeight="1"/>
    <row r="11" ht="30" customHeight="1"/>
    <row r="12" ht="20" customHeight="1">
      <c r="A12" s="14" t="inlineStr">
        <is>
          <t>💡 Strategy: Goal: Prestige and seamless member experience sell karna.</t>
        </is>
      </c>
    </row>
    <row r="13" ht="24" customHeight="1">
      <c r="A13" s="12" t="inlineStr">
        <is>
          <t>📌 Template 3: Quick Direct Pitch (Follow-up / Direct Call to Action)</t>
        </is>
      </c>
    </row>
    <row r="14" ht="30" customHeight="1">
      <c r="A14" s="13" t="inlineStr">
        <is>
          <t>Assalam-o-Alaikum! Kya gym management aur member fees track karne ke liye aap koi software use kar rahe hain ya abhi register/Excel chal raha hai?
Hum Karachi ke select gyms ko 1-Month FREE access de rahe hain to automate fee reminders and member check-ins.
If interested, main aapka gym account 5 minutes mein setup karwa sakta hoon.</t>
        </is>
      </c>
    </row>
    <row r="15" ht="30" customHeight="1"/>
    <row r="16" ht="30" customHeight="1"/>
    <row r="17" ht="20" customHeight="1">
      <c r="A17" s="14" t="inlineStr">
        <is>
          <t>💡 Strategy: Goal: High response rate on busy owners.</t>
        </is>
      </c>
    </row>
  </sheetData>
  <mergeCells count="10">
    <mergeCell ref="A14:C16"/>
    <mergeCell ref="A13:C13"/>
    <mergeCell ref="A1:C1"/>
    <mergeCell ref="A9:C11"/>
    <mergeCell ref="A8:C8"/>
    <mergeCell ref="A4:C6"/>
    <mergeCell ref="A17:C17"/>
    <mergeCell ref="A3:C3"/>
    <mergeCell ref="A12:C1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2026-10-01T11:35:35Z</dcterms:created>
  <dcterms:modified xmlns:dcterms="http://purl.org/dc/terms/" xmlns:xsi="http://www.w3.org/2001/XMLSchema-instance" xsi:type="dcterms:W3CDTF">2026-10-01T11:35:35Z</dcterms:modified>
</cp:coreProperties>
</file>